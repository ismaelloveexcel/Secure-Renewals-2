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nunah-my.sharepoint.com/personal/mohammad_sudally_baynunah_ae/Documents/HR- BAYNUNAH/Baynunah/INSURANCE/RENEWAL 2026/"/>
    </mc:Choice>
  </mc:AlternateContent>
  <xr:revisionPtr revIDLastSave="73" documentId="8_{61B04BFC-4F4E-49F0-BF61-E1263F9B67AA}" xr6:coauthVersionLast="47" xr6:coauthVersionMax="47" xr10:uidLastSave="{0AC6DBF9-9526-43EF-9027-4A5072E2A021}"/>
  <bookViews>
    <workbookView xWindow="-110" yWindow="-110" windowWidth="19420" windowHeight="11500" firstSheet="1" activeTab="1" xr2:uid="{01B73C65-A104-4E83-BE6E-C6378EE74916}"/>
  </bookViews>
  <sheets>
    <sheet name="Sheet2" sheetId="5" r:id="rId1"/>
    <sheet name="Sheet1" sheetId="1" r:id="rId2"/>
    <sheet name="Sheet3" sheetId="3" r:id="rId3"/>
    <sheet name="Form1" sheetId="4" r:id="rId4"/>
  </sheets>
  <definedNames>
    <definedName name="_xlnm._FilterDatabase" localSheetId="1">Sheet1!$A$1:$AS$1</definedName>
    <definedName name="_xlnm._FilterDatabase" localSheetId="2" hidden="1">Sheet3!$A$1:$F$1</definedName>
    <definedName name="CountryList">#N/A</definedName>
    <definedName name="EIDType">#N/A</definedName>
    <definedName name="EmiratesList">#N/A</definedName>
    <definedName name="FlagList">#N/A</definedName>
    <definedName name="Gender">#N/A</definedName>
    <definedName name="MemberStatus">#N/A</definedName>
    <definedName name="Nationality">#N/A</definedName>
    <definedName name="PlaceOfVisaList">#N/A</definedName>
    <definedName name="Relation">#N/A</definedName>
    <definedName name="RenewalPackage">#N/A</definedName>
    <definedName name="SalaryBandList">#N/A</definedName>
    <definedName name="UIDTypeList">#N/A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2" i="1"/>
</calcChain>
</file>

<file path=xl/sharedStrings.xml><?xml version="1.0" encoding="utf-8"?>
<sst xmlns="http://schemas.openxmlformats.org/spreadsheetml/2006/main" count="1579" uniqueCount="617">
  <si>
    <t>Member Number</t>
  </si>
  <si>
    <t>Member First Name</t>
  </si>
  <si>
    <t>Member Middle Name</t>
  </si>
  <si>
    <t>Member Last Name</t>
  </si>
  <si>
    <t>Gender</t>
  </si>
  <si>
    <t>Age</t>
  </si>
  <si>
    <t>Relation</t>
  </si>
  <si>
    <t>Principal Number</t>
  </si>
  <si>
    <t>Principal Name</t>
  </si>
  <si>
    <t>Staff Number</t>
  </si>
  <si>
    <t>Department</t>
  </si>
  <si>
    <t>Date Of Birth</t>
  </si>
  <si>
    <t>Nationality</t>
  </si>
  <si>
    <t>Marital Status</t>
  </si>
  <si>
    <t>National Id Type</t>
  </si>
  <si>
    <t>National Identity</t>
  </si>
  <si>
    <t>Place of visa issuance</t>
  </si>
  <si>
    <t>Visa Unified Number</t>
  </si>
  <si>
    <t>Passport number</t>
  </si>
  <si>
    <t>Visa File Number</t>
  </si>
  <si>
    <t>Birth Certificate Number</t>
  </si>
  <si>
    <t>DHA Member Id</t>
  </si>
  <si>
    <t>Macro Ran Successfully</t>
  </si>
  <si>
    <t>DALIA</t>
  </si>
  <si>
    <t>HESHAM</t>
  </si>
  <si>
    <t>ELDALGAMOUNY</t>
  </si>
  <si>
    <t/>
  </si>
  <si>
    <t>MALE</t>
  </si>
  <si>
    <t>PRINCIPAL</t>
  </si>
  <si>
    <t>DALIA HESHAM ELDALGAMOUNY</t>
  </si>
  <si>
    <t>BAYN00017</t>
  </si>
  <si>
    <t>29/09/1993</t>
  </si>
  <si>
    <t>Egyptian</t>
  </si>
  <si>
    <t>SINGLE</t>
  </si>
  <si>
    <t>Emirates ID</t>
  </si>
  <si>
    <t>784199348693690</t>
  </si>
  <si>
    <t>ABU DHABI</t>
  </si>
  <si>
    <t>N</t>
  </si>
  <si>
    <t>KAREN</t>
  </si>
  <si>
    <t>ROSE</t>
  </si>
  <si>
    <t>MAMARAN GALLA</t>
  </si>
  <si>
    <t>FEMALE</t>
  </si>
  <si>
    <t>KAREN ROSE MAMARAN GALLA</t>
  </si>
  <si>
    <t>BAYN00060</t>
  </si>
  <si>
    <t>08/09/1981</t>
  </si>
  <si>
    <t>Filipino</t>
  </si>
  <si>
    <t>784198194838060</t>
  </si>
  <si>
    <t>139385641</t>
  </si>
  <si>
    <t>101/2025/7/81286</t>
  </si>
  <si>
    <t>AHMED MAHER</t>
  </si>
  <si>
    <t>MAHER</t>
  </si>
  <si>
    <t>ABDELHAMID</t>
  </si>
  <si>
    <t>AHMED MAHER MAHER ABDELHAMID</t>
  </si>
  <si>
    <t>BAYN00058</t>
  </si>
  <si>
    <t>22/06/1994</t>
  </si>
  <si>
    <t>MARRIED</t>
  </si>
  <si>
    <t>784199449838541</t>
  </si>
  <si>
    <t>194337905</t>
  </si>
  <si>
    <t>101/2025/7/79413</t>
  </si>
  <si>
    <t>VIJAYAKUMAR</t>
  </si>
  <si>
    <t>PANGICHAN</t>
  </si>
  <si>
    <t>KUMARAN</t>
  </si>
  <si>
    <t>VIJAYAKUMAR PANGICHAN KUMARAN</t>
  </si>
  <si>
    <t>BAYN00074</t>
  </si>
  <si>
    <t>22/05/1979</t>
  </si>
  <si>
    <t>Indian</t>
  </si>
  <si>
    <t>784197941724136</t>
  </si>
  <si>
    <t>159225651</t>
  </si>
  <si>
    <t>101/2025/7/133649</t>
  </si>
  <si>
    <t>VARUGHESE</t>
  </si>
  <si>
    <t>MALERIL</t>
  </si>
  <si>
    <t>KURIAKOSE</t>
  </si>
  <si>
    <t>VARUGHESE MALERIL KURIAKOSE</t>
  </si>
  <si>
    <t>BAYN00075</t>
  </si>
  <si>
    <t>16/05/1971</t>
  </si>
  <si>
    <t>784197159162409</t>
  </si>
  <si>
    <t>37193610</t>
  </si>
  <si>
    <t>101/2025/7/135545</t>
  </si>
  <si>
    <t>ZAHID</t>
  </si>
  <si>
    <t>AKTHAR ABDUL</t>
  </si>
  <si>
    <t>WAHEED</t>
  </si>
  <si>
    <t>ZAHID AKTHAR ABDUL WAHEED</t>
  </si>
  <si>
    <t>BAYN00076</t>
  </si>
  <si>
    <t>08/12/1972</t>
  </si>
  <si>
    <t>784197283257539</t>
  </si>
  <si>
    <t>33372145</t>
  </si>
  <si>
    <t>101/2025/7/133918</t>
  </si>
  <si>
    <t>ESRAA</t>
  </si>
  <si>
    <t>ESSAMELDIN</t>
  </si>
  <si>
    <t>FAHMY</t>
  </si>
  <si>
    <t>ESRAA ESSAMELDIN FAHMY</t>
  </si>
  <si>
    <t>BAYN00064</t>
  </si>
  <si>
    <t>24/11/1989</t>
  </si>
  <si>
    <t>784198918634654</t>
  </si>
  <si>
    <t>229361658</t>
  </si>
  <si>
    <t>101/2025/7/0107118</t>
  </si>
  <si>
    <t>AKRAM</t>
  </si>
  <si>
    <t>FOUD GABR</t>
  </si>
  <si>
    <t>KHADIER</t>
  </si>
  <si>
    <t>AKRAM FOUD GABR KHADIER</t>
  </si>
  <si>
    <t>03/03/1986</t>
  </si>
  <si>
    <t>Tunisian</t>
  </si>
  <si>
    <t>784198960986143</t>
  </si>
  <si>
    <t>101/2024/7/162962</t>
  </si>
  <si>
    <t>ANSHID</t>
  </si>
  <si>
    <t>CHERIYADAN</t>
  </si>
  <si>
    <t>ANSHID CHERIYADAN</t>
  </si>
  <si>
    <t>13/11/1991</t>
  </si>
  <si>
    <t>784199104902913</t>
  </si>
  <si>
    <t>101/2024/7/22694</t>
  </si>
  <si>
    <t>NIKHIL PAWAR</t>
  </si>
  <si>
    <t>DILIP</t>
  </si>
  <si>
    <t>NIKHIL PAWAR DILIP</t>
  </si>
  <si>
    <t>BAYN00051</t>
  </si>
  <si>
    <t>11/06/1993</t>
  </si>
  <si>
    <t>UID No.</t>
  </si>
  <si>
    <t>243705166</t>
  </si>
  <si>
    <t>101/2025/7/39107</t>
  </si>
  <si>
    <t>SHAFEEQE</t>
  </si>
  <si>
    <t>VAKKAYIL</t>
  </si>
  <si>
    <t>SHAFEEQE VAKKAYIL</t>
  </si>
  <si>
    <t>BAYN00038</t>
  </si>
  <si>
    <t>10/05/1989</t>
  </si>
  <si>
    <t>784198927980502</t>
  </si>
  <si>
    <t>SYED</t>
  </si>
  <si>
    <t>IRFAN</t>
  </si>
  <si>
    <t>ZAKIUDDIN</t>
  </si>
  <si>
    <t>SYED IRFAN ZAKIUDDIN</t>
  </si>
  <si>
    <t>BAYN00002</t>
  </si>
  <si>
    <t>11/03/1979</t>
  </si>
  <si>
    <t>784197904165368</t>
  </si>
  <si>
    <t>DUBAI</t>
  </si>
  <si>
    <t>201/2022/7/628988</t>
  </si>
  <si>
    <t>Z3798966</t>
  </si>
  <si>
    <t>I026-004-122013667-01</t>
  </si>
  <si>
    <t>MICHAEL</t>
  </si>
  <si>
    <t>RUTMAN</t>
  </si>
  <si>
    <t>MICHAEL RUTMAN</t>
  </si>
  <si>
    <t>BAYN00003</t>
  </si>
  <si>
    <t>21/07/1979</t>
  </si>
  <si>
    <t>Israeli</t>
  </si>
  <si>
    <t>784197964811042</t>
  </si>
  <si>
    <t>IMELDA</t>
  </si>
  <si>
    <t>MARCELO</t>
  </si>
  <si>
    <t>IMELDA MARCELO</t>
  </si>
  <si>
    <t>BAYN00004</t>
  </si>
  <si>
    <t>06/05/1978</t>
  </si>
  <si>
    <t>784197842625168</t>
  </si>
  <si>
    <t>AMRO</t>
  </si>
  <si>
    <t>ALY</t>
  </si>
  <si>
    <t>ASMAEL</t>
  </si>
  <si>
    <t>AMRO ALY ASMAEL</t>
  </si>
  <si>
    <t>BAYN00006</t>
  </si>
  <si>
    <t>20/12/1982</t>
  </si>
  <si>
    <t>Hungarian</t>
  </si>
  <si>
    <t>784198295905792</t>
  </si>
  <si>
    <t>MOHAMMAD</t>
  </si>
  <si>
    <t>ISMAEL</t>
  </si>
  <si>
    <t>SUDALLY</t>
  </si>
  <si>
    <t>MOHAMMAD ISMAEL SUDALLY</t>
  </si>
  <si>
    <t>BAYN00008</t>
  </si>
  <si>
    <t>16/05/1988</t>
  </si>
  <si>
    <t>Mauritian</t>
  </si>
  <si>
    <t>784198815216803</t>
  </si>
  <si>
    <t>MOHAMED</t>
  </si>
  <si>
    <t>MATHAR</t>
  </si>
  <si>
    <t>ALI</t>
  </si>
  <si>
    <t>MOHAMED MATHAR ALI</t>
  </si>
  <si>
    <t>BAYN00009</t>
  </si>
  <si>
    <t>03/02/1987</t>
  </si>
  <si>
    <t>784198791717089</t>
  </si>
  <si>
    <t>AHMED</t>
  </si>
  <si>
    <t>EMAL</t>
  </si>
  <si>
    <t>RAPHEL</t>
  </si>
  <si>
    <t>BENNY</t>
  </si>
  <si>
    <t>EMAL RAPHEL BENNY</t>
  </si>
  <si>
    <t>BAYN00013</t>
  </si>
  <si>
    <t>15/06/1997</t>
  </si>
  <si>
    <t>784199721758896</t>
  </si>
  <si>
    <t>MAHMOUD</t>
  </si>
  <si>
    <t>SAEED</t>
  </si>
  <si>
    <t>MAHMOUD SAEED MOHAMED</t>
  </si>
  <si>
    <t>BAYN00014</t>
  </si>
  <si>
    <t>01/01/1980</t>
  </si>
  <si>
    <t>784198027024375</t>
  </si>
  <si>
    <t>ABDEL WAHED</t>
  </si>
  <si>
    <t>ABDEL</t>
  </si>
  <si>
    <t>MOHAMED ABDEL WAHED ABDEL</t>
  </si>
  <si>
    <t>BAYN00018</t>
  </si>
  <si>
    <t>28/08/1986</t>
  </si>
  <si>
    <t>784198605940935</t>
  </si>
  <si>
    <t>ILKHOM</t>
  </si>
  <si>
    <t>MAMAYUNUSOV</t>
  </si>
  <si>
    <t>ILKHOM MAMAYUNUSOV</t>
  </si>
  <si>
    <t>BAYN00025</t>
  </si>
  <si>
    <t>07/08/1994</t>
  </si>
  <si>
    <t>Uzbek</t>
  </si>
  <si>
    <t>784199481070847</t>
  </si>
  <si>
    <t>ASHRAF</t>
  </si>
  <si>
    <t>MOHAMMED</t>
  </si>
  <si>
    <t>HASSAN</t>
  </si>
  <si>
    <t>ASHRAF MOHAMMED HASSAN</t>
  </si>
  <si>
    <t>BAYN00033</t>
  </si>
  <si>
    <t>02/10/1997</t>
  </si>
  <si>
    <t>784199759431382</t>
  </si>
  <si>
    <t>RAOUF</t>
  </si>
  <si>
    <t>ABOUZAID</t>
  </si>
  <si>
    <t>ALI RAOUF ABOUZAID</t>
  </si>
  <si>
    <t>BAYN00036</t>
  </si>
  <si>
    <t>25/11/1993</t>
  </si>
  <si>
    <t>784199381628207</t>
  </si>
  <si>
    <t>DIJESH</t>
  </si>
  <si>
    <t>THAZHATHETHIL</t>
  </si>
  <si>
    <t>DIJESH THAZHATHETHIL</t>
  </si>
  <si>
    <t>BAYN00044</t>
  </si>
  <si>
    <t>23/08/1993</t>
  </si>
  <si>
    <t>784199356571358</t>
  </si>
  <si>
    <t>SEDDIK</t>
  </si>
  <si>
    <t>GUEHAIRIA</t>
  </si>
  <si>
    <t>SEDDIK GUEHAIRIA</t>
  </si>
  <si>
    <t>BAYN00045</t>
  </si>
  <si>
    <t>08/03/1985</t>
  </si>
  <si>
    <t>Algerian</t>
  </si>
  <si>
    <t>784198572143810</t>
  </si>
  <si>
    <t>HOSSAM</t>
  </si>
  <si>
    <t>ELSAYED ABDO</t>
  </si>
  <si>
    <t>EMAM</t>
  </si>
  <si>
    <t>HOSSAM ELSAYED ABDO EMAM</t>
  </si>
  <si>
    <t>BAYN00046</t>
  </si>
  <si>
    <t>24/02/1968</t>
  </si>
  <si>
    <t>784196885315828</t>
  </si>
  <si>
    <t>201/2024/7/569977</t>
  </si>
  <si>
    <t>A25463742</t>
  </si>
  <si>
    <t>I026-004-121725888-01</t>
  </si>
  <si>
    <t>VINA</t>
  </si>
  <si>
    <t>VILLAFLOR</t>
  </si>
  <si>
    <t>GONZALES</t>
  </si>
  <si>
    <t>VINA VILLAFLOR GONZALES</t>
  </si>
  <si>
    <t>BAYN00049</t>
  </si>
  <si>
    <t>14/07/1993</t>
  </si>
  <si>
    <t>784199306873144</t>
  </si>
  <si>
    <t>NADA</t>
  </si>
  <si>
    <t>ALRABEY</t>
  </si>
  <si>
    <t>NADA MOHAMMED ALRABEY</t>
  </si>
  <si>
    <t>TEMP1399</t>
  </si>
  <si>
    <t>13/06/1999</t>
  </si>
  <si>
    <t>784199906217288</t>
  </si>
  <si>
    <t>HUSSEIN</t>
  </si>
  <si>
    <t>MLHEM</t>
  </si>
  <si>
    <t>HUSSEIN ALI MLHEM</t>
  </si>
  <si>
    <t>TEMPS0101</t>
  </si>
  <si>
    <t>01/01/1995</t>
  </si>
  <si>
    <t>Syrian</t>
  </si>
  <si>
    <t>784199593222104</t>
  </si>
  <si>
    <t>GEZEIL</t>
  </si>
  <si>
    <t>RODRIGUEZ</t>
  </si>
  <si>
    <t>NATIVIDAD</t>
  </si>
  <si>
    <t>GEZEIL RODRIGUEZ NATIVIDAD</t>
  </si>
  <si>
    <t>BAYN00041</t>
  </si>
  <si>
    <t>11/05/1985</t>
  </si>
  <si>
    <t>784198518213933</t>
  </si>
  <si>
    <t>JASEENA</t>
  </si>
  <si>
    <t>SHARIN</t>
  </si>
  <si>
    <t>PUTHIYAKATH</t>
  </si>
  <si>
    <t>SPOUSE</t>
  </si>
  <si>
    <t>04/11/1996</t>
  </si>
  <si>
    <t>784199624286466</t>
  </si>
  <si>
    <t>SAIDA</t>
  </si>
  <si>
    <t>HAMDI</t>
  </si>
  <si>
    <t>04/08/1986</t>
  </si>
  <si>
    <t>86646140</t>
  </si>
  <si>
    <t>101/2025/3/99640</t>
  </si>
  <si>
    <t>MARAM</t>
  </si>
  <si>
    <t>GAMAL</t>
  </si>
  <si>
    <t>IBRAHEEM</t>
  </si>
  <si>
    <t>15/03/1997</t>
  </si>
  <si>
    <t>86162946</t>
  </si>
  <si>
    <t>101/2025/3/128018</t>
  </si>
  <si>
    <t>SANOBAR</t>
  </si>
  <si>
    <t>JAHAN ZAHID AKHTAR</t>
  </si>
  <si>
    <t>SHAIKH</t>
  </si>
  <si>
    <t>16/02/1977</t>
  </si>
  <si>
    <t>784197772851859</t>
  </si>
  <si>
    <t>101/2025/3/104799</t>
  </si>
  <si>
    <t>AISHWARYA</t>
  </si>
  <si>
    <t>RAJESH</t>
  </si>
  <si>
    <t>24/04/1999</t>
  </si>
  <si>
    <t>784199941084883</t>
  </si>
  <si>
    <t>101/2025/3/2935</t>
  </si>
  <si>
    <t>FIDHA</t>
  </si>
  <si>
    <t>MACHINGAL</t>
  </si>
  <si>
    <t>02/12/1998</t>
  </si>
  <si>
    <t>238740344</t>
  </si>
  <si>
    <t>101/2025/3/15976</t>
  </si>
  <si>
    <t>MARC</t>
  </si>
  <si>
    <t>JASON PERERAS</t>
  </si>
  <si>
    <t>PUNZALAN</t>
  </si>
  <si>
    <t>19/12/1985</t>
  </si>
  <si>
    <t>784198507971327</t>
  </si>
  <si>
    <t>RANYA</t>
  </si>
  <si>
    <t>HELMY</t>
  </si>
  <si>
    <t>ELHABAL</t>
  </si>
  <si>
    <t>04/03/1976</t>
  </si>
  <si>
    <t>784197630935712</t>
  </si>
  <si>
    <t>201/2024/3/825742</t>
  </si>
  <si>
    <t>A25463879</t>
  </si>
  <si>
    <t>I026-004-122013673-01</t>
  </si>
  <si>
    <t>MADINA</t>
  </si>
  <si>
    <t>MAMAYUNUSOVA</t>
  </si>
  <si>
    <t>13/03/1997</t>
  </si>
  <si>
    <t>784199761641507</t>
  </si>
  <si>
    <t>KAMAR</t>
  </si>
  <si>
    <t>DESOUKY</t>
  </si>
  <si>
    <t>09/07/1983</t>
  </si>
  <si>
    <t>784198385841535</t>
  </si>
  <si>
    <t>AMINA</t>
  </si>
  <si>
    <t>FARHEEN</t>
  </si>
  <si>
    <t>07/01/1979</t>
  </si>
  <si>
    <t>784197990364081</t>
  </si>
  <si>
    <t>201/2024/3/967639</t>
  </si>
  <si>
    <t>R8080807</t>
  </si>
  <si>
    <t>I026-004-122013669-01</t>
  </si>
  <si>
    <t>MUHAMMAD</t>
  </si>
  <si>
    <t>HANOON</t>
  </si>
  <si>
    <t>CHILD</t>
  </si>
  <si>
    <t>23/04/2018</t>
  </si>
  <si>
    <t>784201871021842</t>
  </si>
  <si>
    <t>YAARA</t>
  </si>
  <si>
    <t>MARIYAM</t>
  </si>
  <si>
    <t>09/06/2022</t>
  </si>
  <si>
    <t>784202265298285</t>
  </si>
  <si>
    <t>MARY</t>
  </si>
  <si>
    <t>JONIELLE</t>
  </si>
  <si>
    <t>28/05/2009</t>
  </si>
  <si>
    <t>784200948096324</t>
  </si>
  <si>
    <t>JOHN</t>
  </si>
  <si>
    <t>RONMEL</t>
  </si>
  <si>
    <t>04/04/2013</t>
  </si>
  <si>
    <t>784201383649130</t>
  </si>
  <si>
    <t>NEAMA</t>
  </si>
  <si>
    <t>SALAMA</t>
  </si>
  <si>
    <t>31/10/2012</t>
  </si>
  <si>
    <t>784201210643694</t>
  </si>
  <si>
    <t>SAID</t>
  </si>
  <si>
    <t>24/06/2008</t>
  </si>
  <si>
    <t>784200850271048</t>
  </si>
  <si>
    <t>20/10/2018</t>
  </si>
  <si>
    <t>784201843170685</t>
  </si>
  <si>
    <t>OSAMA</t>
  </si>
  <si>
    <t>09/04/2006</t>
  </si>
  <si>
    <t>784200607425723</t>
  </si>
  <si>
    <t>SAFIYA</t>
  </si>
  <si>
    <t>29/07/2022</t>
  </si>
  <si>
    <t>784202230813507</t>
  </si>
  <si>
    <t>MARC JOSHUA</t>
  </si>
  <si>
    <t>29/06/2017</t>
  </si>
  <si>
    <t>784201710754686</t>
  </si>
  <si>
    <t>MARC RIZEN</t>
  </si>
  <si>
    <t>25/02/2006</t>
  </si>
  <si>
    <t>784200675170805</t>
  </si>
  <si>
    <t>SARAH</t>
  </si>
  <si>
    <t>25/03/2015</t>
  </si>
  <si>
    <t>784201561646320</t>
  </si>
  <si>
    <t>201/2024/3/967640</t>
  </si>
  <si>
    <t>T8941609</t>
  </si>
  <si>
    <t>I026-004-122013668-01</t>
  </si>
  <si>
    <t>NAILAH</t>
  </si>
  <si>
    <t>19/05/2013</t>
  </si>
  <si>
    <t>784201382813604</t>
  </si>
  <si>
    <t>201/2024/3/968107</t>
  </si>
  <si>
    <t>Y7364000</t>
  </si>
  <si>
    <t>I026-004-122013670-01</t>
  </si>
  <si>
    <t>HAALA</t>
  </si>
  <si>
    <t>ZOOHI</t>
  </si>
  <si>
    <t>05/09/2024</t>
  </si>
  <si>
    <t>84155796</t>
  </si>
  <si>
    <t>C4381696</t>
  </si>
  <si>
    <t>101/2025/3/15978</t>
  </si>
  <si>
    <t>MARYAM</t>
  </si>
  <si>
    <t>ILKHOMOVNA</t>
  </si>
  <si>
    <t>17/02/2025</t>
  </si>
  <si>
    <t>AD/BTH-NC/0004906/2025</t>
  </si>
  <si>
    <t>ZAMAN ZAHID AKHTAR</t>
  </si>
  <si>
    <t>26/04/2008</t>
  </si>
  <si>
    <t>784200830587653</t>
  </si>
  <si>
    <t>101/2025/3/104803</t>
  </si>
  <si>
    <t>ALEXANDER</t>
  </si>
  <si>
    <t>MANUAL</t>
  </si>
  <si>
    <t>VAZ</t>
  </si>
  <si>
    <t>ALEXANDER MANUAL VAZ</t>
  </si>
  <si>
    <t>06/03/1958</t>
  </si>
  <si>
    <t>784195820848034</t>
  </si>
  <si>
    <t>BELLA</t>
  </si>
  <si>
    <t>DOMINGO</t>
  </si>
  <si>
    <t>09/08/1969</t>
  </si>
  <si>
    <t>784196916262031</t>
  </si>
  <si>
    <t>ANNE</t>
  </si>
  <si>
    <t>PHILOMENA</t>
  </si>
  <si>
    <t>05/04/1992</t>
  </si>
  <si>
    <t>784199213032156</t>
  </si>
  <si>
    <t>ANTONETTE</t>
  </si>
  <si>
    <t>FILIPA</t>
  </si>
  <si>
    <t>05/01/2001</t>
  </si>
  <si>
    <t>Portuguese</t>
  </si>
  <si>
    <t>784200103184923</t>
  </si>
  <si>
    <t>SAM</t>
  </si>
  <si>
    <t>ARNULFO</t>
  </si>
  <si>
    <t>19/10/2007</t>
  </si>
  <si>
    <t>784200758592529</t>
  </si>
  <si>
    <t>Employee Name</t>
  </si>
  <si>
    <t>Employee No</t>
  </si>
  <si>
    <t>Irfan Syed Ali</t>
  </si>
  <si>
    <t>Michael Rutman</t>
  </si>
  <si>
    <t>Imelda Basco Marcelo</t>
  </si>
  <si>
    <t>Amro Aly Asmael</t>
  </si>
  <si>
    <t>Mohammad Ismael Sudally</t>
  </si>
  <si>
    <t>Mohamed Mathar Haydar Ali</t>
  </si>
  <si>
    <t xml:space="preserve">Emal Raphel Benny </t>
  </si>
  <si>
    <t>Mahmoud Saeed Mohamed</t>
  </si>
  <si>
    <t>Oliver Godson Fosu</t>
  </si>
  <si>
    <t>BAYN00015</t>
  </si>
  <si>
    <t>Dalia Hesham Mohamed Rashad Eldalgamouny</t>
  </si>
  <si>
    <t>Mohamed Abdel Wahed Hafez Abdel Wahed</t>
  </si>
  <si>
    <t>Nada Mohammed Hamed Mahmoud Alrabey</t>
  </si>
  <si>
    <t>BAYN00019</t>
  </si>
  <si>
    <t>Muhammad Fayyaz</t>
  </si>
  <si>
    <t>BAYN00021</t>
  </si>
  <si>
    <t>Anshid Cheriyadan</t>
  </si>
  <si>
    <t>BAYN00023</t>
  </si>
  <si>
    <t>Narendra K C</t>
  </si>
  <si>
    <t>BAYN00024</t>
  </si>
  <si>
    <t>Ilkhom Mamayunusov</t>
  </si>
  <si>
    <t>Hassan Bilal Khan</t>
  </si>
  <si>
    <t>BAYN00026</t>
  </si>
  <si>
    <t>Yasir Ali</t>
  </si>
  <si>
    <t>BAYN00028</t>
  </si>
  <si>
    <t xml:space="preserve">Vikhar Ahmed Mohammed </t>
  </si>
  <si>
    <t>BAYN00029</t>
  </si>
  <si>
    <t>Ashis Rajdhami</t>
  </si>
  <si>
    <t>BAYN00030</t>
  </si>
  <si>
    <t>Muthenna Alali</t>
  </si>
  <si>
    <t>BAYN00031</t>
  </si>
  <si>
    <t>Abdullah</t>
  </si>
  <si>
    <t>BAYN00032</t>
  </si>
  <si>
    <t xml:space="preserve">Ashraf Mohammed Hassan </t>
  </si>
  <si>
    <t>Ali Raouf Kamel Mohamed Abouzaid</t>
  </si>
  <si>
    <t>Shafeeqe Vakkayil</t>
  </si>
  <si>
    <t>Hussein Mlhem</t>
  </si>
  <si>
    <t>BAYN00039</t>
  </si>
  <si>
    <t>Saeed Sulaiman Rashed Mohammed Alnuaimi</t>
  </si>
  <si>
    <t>BAYN00040</t>
  </si>
  <si>
    <t>Gezeil Rodriguez Natividad</t>
  </si>
  <si>
    <t>Dijesh Thazhathethil</t>
  </si>
  <si>
    <t>Seddik Guehairia</t>
  </si>
  <si>
    <t>Hossam Elsayed Abdo Emam</t>
  </si>
  <si>
    <t>Alexander Manual Vaz</t>
  </si>
  <si>
    <t>BAYN00047</t>
  </si>
  <si>
    <t>Akram Fouad Gabr Khadier</t>
  </si>
  <si>
    <t>BAYN00048</t>
  </si>
  <si>
    <t>Vina Villaflor Gonzales</t>
  </si>
  <si>
    <t>Atif Iqbal</t>
  </si>
  <si>
    <t>BAYN00050</t>
  </si>
  <si>
    <t>Nikhil Pawar Dilip</t>
  </si>
  <si>
    <t>Alona Napay</t>
  </si>
  <si>
    <t>BAYN00056</t>
  </si>
  <si>
    <t>Rumiya Ezudheen</t>
  </si>
  <si>
    <t>BAYN00057</t>
  </si>
  <si>
    <t>Ahmed Maher Abdelhamid Mahmoud</t>
  </si>
  <si>
    <t>Sarfaraz</t>
  </si>
  <si>
    <t>BAYN00059</t>
  </si>
  <si>
    <t>Karen Rose Mamaran Galla</t>
  </si>
  <si>
    <t>Sardar Saqib Ali Mughal</t>
  </si>
  <si>
    <t>BAYN00061</t>
  </si>
  <si>
    <t>Mansoor Mustafa Hassan Ahli</t>
  </si>
  <si>
    <t>BAYN00062</t>
  </si>
  <si>
    <t>Esraa Essameldin Ali Fahmy</t>
  </si>
  <si>
    <t>Yasir Khan Haji Bahadar</t>
  </si>
  <si>
    <t>BAYN00065</t>
  </si>
  <si>
    <t>Mohammed Mohassin Puliyanpatta</t>
  </si>
  <si>
    <t>BAYN00068</t>
  </si>
  <si>
    <t>Doh Martin Nyongha</t>
  </si>
  <si>
    <t>BAYN00071</t>
  </si>
  <si>
    <t>Ezmat Rizk Ahmed Mohamed</t>
  </si>
  <si>
    <t>BAYN00073</t>
  </si>
  <si>
    <t>Vijayakumar Pangichan Kumaran</t>
  </si>
  <si>
    <t>Varughese Maleril Kuriakose</t>
  </si>
  <si>
    <t>Zahid Akhtar Abdul Waheed</t>
  </si>
  <si>
    <t xml:space="preserve">Melvin Chellakandathil Mathew </t>
  </si>
  <si>
    <t>BAYN00077</t>
  </si>
  <si>
    <t>Fasna Ashraf</t>
  </si>
  <si>
    <t>BAYN00078</t>
  </si>
  <si>
    <t>Marina Adel Sedky Wanis</t>
  </si>
  <si>
    <t>BAYN00079</t>
  </si>
  <si>
    <t>Ellathparambil Rajan Syamaraj</t>
  </si>
  <si>
    <t>BAYN00080</t>
  </si>
  <si>
    <t>Vishnu Vakkayil Gangadharan</t>
  </si>
  <si>
    <t>BAYN00081</t>
  </si>
  <si>
    <t>Muhammed Nihad Shamsheer</t>
  </si>
  <si>
    <t>BAYN00082</t>
  </si>
  <si>
    <t>Adhil Thaha</t>
  </si>
  <si>
    <t>BAYN00083</t>
  </si>
  <si>
    <t>Amira Mansour</t>
  </si>
  <si>
    <t>BAYN00084</t>
  </si>
  <si>
    <t xml:space="preserve"> Idris Fuad Abdalla</t>
  </si>
  <si>
    <t>Abdullatif Akrim Abdulhamid</t>
  </si>
  <si>
    <t>Job Title</t>
  </si>
  <si>
    <t>Location</t>
  </si>
  <si>
    <t>Regional Director- Sales &amp; Aftersales</t>
  </si>
  <si>
    <t>Sales- Machines Sales &amp; After Sales</t>
  </si>
  <si>
    <t>Head Office</t>
  </si>
  <si>
    <t>CEO</t>
  </si>
  <si>
    <t>Management</t>
  </si>
  <si>
    <t>Adminstrative Assistant</t>
  </si>
  <si>
    <t>Marketing Director</t>
  </si>
  <si>
    <t>Marketing</t>
  </si>
  <si>
    <t>Human Resource Specialist</t>
  </si>
  <si>
    <t>HR</t>
  </si>
  <si>
    <t>Logistic Coordinator</t>
  </si>
  <si>
    <t>Manufacturing: Logistics &amp; Warehouse</t>
  </si>
  <si>
    <t>Kezad</t>
  </si>
  <si>
    <t>Warehouse Officer</t>
  </si>
  <si>
    <t>Manufacturing Director</t>
  </si>
  <si>
    <t>Manufacturing</t>
  </si>
  <si>
    <t>Maintenance Technician</t>
  </si>
  <si>
    <t>Key Account Manager</t>
  </si>
  <si>
    <t>Sales: Bottled/Canned Water</t>
  </si>
  <si>
    <t>Sales Supervisor</t>
  </si>
  <si>
    <t>Executive Assistant</t>
  </si>
  <si>
    <t>Office Facilities &amp; Administration</t>
  </si>
  <si>
    <t>Quality Coordinator</t>
  </si>
  <si>
    <t>Manufacturing: Factory</t>
  </si>
  <si>
    <t>Helper</t>
  </si>
  <si>
    <t>Maintenance Supervisor</t>
  </si>
  <si>
    <t>Assistant Production Manager</t>
  </si>
  <si>
    <t>Filler machine operator</t>
  </si>
  <si>
    <t>Carton Machine Operator</t>
  </si>
  <si>
    <t>Lab Assistant</t>
  </si>
  <si>
    <t>Labeler machine operator</t>
  </si>
  <si>
    <t xml:space="preserve">Marketing Executive </t>
  </si>
  <si>
    <t>Driver</t>
  </si>
  <si>
    <t>Marketing Operations Executive</t>
  </si>
  <si>
    <t>Chief Financial Officer</t>
  </si>
  <si>
    <t>Manager- Accounting and Control</t>
  </si>
  <si>
    <t>Finance</t>
  </si>
  <si>
    <t>IT Support Officer</t>
  </si>
  <si>
    <t>IT</t>
  </si>
  <si>
    <t>Merchandiser</t>
  </si>
  <si>
    <t>Sales Director</t>
  </si>
  <si>
    <t>Senior PRO</t>
  </si>
  <si>
    <t>Regional Sales Manager</t>
  </si>
  <si>
    <t>Accounting Associate</t>
  </si>
  <si>
    <t>Safario</t>
  </si>
  <si>
    <t>Office Assistant</t>
  </si>
  <si>
    <t>Accounts Officer</t>
  </si>
  <si>
    <t>Quality Controller</t>
  </si>
  <si>
    <t>Manufacturing- Machines Assembly</t>
  </si>
  <si>
    <t>Route Sales Representative</t>
  </si>
  <si>
    <t>Sales and Customer Support Admin</t>
  </si>
  <si>
    <t>Sales Account Executive</t>
  </si>
  <si>
    <t>Consultant</t>
  </si>
  <si>
    <t>Marketing Specialist</t>
  </si>
  <si>
    <t>Assistant Route Sales Representative</t>
  </si>
  <si>
    <t>Team Leader- Operations</t>
  </si>
  <si>
    <t>Mechanical Technician</t>
  </si>
  <si>
    <t>Sales Manager</t>
  </si>
  <si>
    <t>E Commerce Specialist</t>
  </si>
  <si>
    <t>Customer Service Associate</t>
  </si>
  <si>
    <t>ID</t>
  </si>
  <si>
    <t>Start time</t>
  </si>
  <si>
    <t>Completion time</t>
  </si>
  <si>
    <t>Email</t>
  </si>
  <si>
    <t>Name</t>
  </si>
  <si>
    <t>Question</t>
  </si>
  <si>
    <t>256363639</t>
  </si>
  <si>
    <t>Row Labels</t>
  </si>
  <si>
    <t>Grand Total</t>
  </si>
  <si>
    <t>Column Labels</t>
  </si>
  <si>
    <t>BELLA DOMINGO VAZ</t>
  </si>
  <si>
    <t>ANNE PHILOMENA VAZ</t>
  </si>
  <si>
    <t>ANTONETTE FILIPA VAZ</t>
  </si>
  <si>
    <t>SAM ARNULFO VAZ</t>
  </si>
  <si>
    <t>ANSHID  CHERIYADAN</t>
  </si>
  <si>
    <t>FIDHA AHMED MACHINGAL</t>
  </si>
  <si>
    <t>HAALA  ZOOHI</t>
  </si>
  <si>
    <t>DIJESH  THAZHATHETHIL</t>
  </si>
  <si>
    <t>AISHWARYA RAJESH RAJESH</t>
  </si>
  <si>
    <t>MARC JASON PERERAS PUNZALAN</t>
  </si>
  <si>
    <t>MARC JOSHUA NATIVIDAD PUNZALAN</t>
  </si>
  <si>
    <t>MARC RIZEN NATIVIDAD PUNZALAN</t>
  </si>
  <si>
    <t>RANYA HELMY ELHABAL</t>
  </si>
  <si>
    <t>MARAM GAMAL IBRAHEEM</t>
  </si>
  <si>
    <t>ILKHOM  MAMAYUNUSOV</t>
  </si>
  <si>
    <t>MADINA  MAMAYUNUSOVA</t>
  </si>
  <si>
    <t>SAFIYA  MAMAYUNUSOVA</t>
  </si>
  <si>
    <t>MARYAM ILKHOMOVNA MAMAYUNUSOVA</t>
  </si>
  <si>
    <t>IMELDA  MARCELO</t>
  </si>
  <si>
    <t>MARY JONIELLE MARCELO</t>
  </si>
  <si>
    <t>JOHN RONMEL MARCELO</t>
  </si>
  <si>
    <t>KAMAR AHMED DESOUKY</t>
  </si>
  <si>
    <t>NEAMA MAHMOUD SALAMA</t>
  </si>
  <si>
    <t>SAID MAHMOUD SALAMA</t>
  </si>
  <si>
    <t>AHMED MAHMOUD SALAMA</t>
  </si>
  <si>
    <t>OSAMA MAHMOUD SALAMA</t>
  </si>
  <si>
    <t>MICHAEL  RUTMAN</t>
  </si>
  <si>
    <t>NIKHIL PAWAR  DILIP</t>
  </si>
  <si>
    <t>SEDDIK  GUEHAIRIA</t>
  </si>
  <si>
    <t>SAIDA  HAMDI</t>
  </si>
  <si>
    <t>SHAFEEQE  VAKKAYIL</t>
  </si>
  <si>
    <t>JASEENA SHARIN PUTHIYAKATH</t>
  </si>
  <si>
    <t>MUHAMMAD HANOON VAKKAYIL</t>
  </si>
  <si>
    <t>YAARA MARIYAM VAKKAYIL</t>
  </si>
  <si>
    <t>AMINA  FARHEEN</t>
  </si>
  <si>
    <t>SARAH IRFAN ALI</t>
  </si>
  <si>
    <t>NAILAH IRFAN ALI</t>
  </si>
  <si>
    <t>SANOBAR JAHAN ZAHID AKHTAR SHAIKH</t>
  </si>
  <si>
    <t>MOHAMMED ZAMAN ZAHID AKHTAR SHAIKH</t>
  </si>
  <si>
    <t>Member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</si>
</sst>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0"/>
      <name val="Aptos Display"/>
      <family val="2"/>
      <scheme val="major"/>
    </font>
    <font>
      <b/>
      <sz val="10"/>
      <color theme="0"/>
      <name val="Aptos ExtraBold"/>
      <family val="2"/>
    </font>
    <font>
      <sz val="10"/>
      <color theme="1"/>
      <name val="Aptos ExtraBold"/>
      <family val="2"/>
    </font>
    <font>
      <sz val="10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1" xfId="1" applyNumberFormat="1" applyFont="1" applyFill="1" applyBorder="1" applyAlignment="1" applyProtection="1">
      <alignment horizontal="left" vertical="center" wrapText="1"/>
      <protection locked="0"/>
    </xf>
    <xf numFmtId="49" fontId="4" fillId="3" borderId="1" xfId="1" applyNumberFormat="1" applyFont="1" applyFill="1" applyBorder="1" applyAlignment="1">
      <alignment horizontal="left" vertical="center" wrapText="1"/>
    </xf>
    <xf numFmtId="49" fontId="3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/>
    <xf numFmtId="0" fontId="6" fillId="0" borderId="0" xfId="0" applyFont="1"/>
    <xf numFmtId="49" fontId="3" fillId="4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6" borderId="2" xfId="0" applyNumberFormat="1" applyFont="1" applyFill="1" applyBorder="1" applyAlignment="1" applyProtection="1">
      <alignment horizontal="center" vertical="center" wrapText="1"/>
      <protection locked="0"/>
    </xf>
    <xf numFmtId="22" fontId="0" fillId="0" borderId="0" xfId="0" applyNumberFormat="1"/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49" fontId="4" fillId="3" borderId="3" xfId="1" applyNumberFormat="1" applyFont="1" applyFill="1" applyBorder="1" applyAlignment="1" applyProtection="1">
      <alignment horizontal="left" vertical="center" wrapText="1"/>
      <protection locked="0"/>
    </xf>
    <xf numFmtId="49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4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49" fontId="3" fillId="6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7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7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4" borderId="2" xfId="0" applyFont="1" applyFill="1" applyBorder="1" applyAlignment="1">
      <alignment horizontal="center"/>
    </xf>
    <xf numFmtId="49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 3" xfId="1" xr:uid="{21201B9B-E8EF-4640-BC72-169371870C8C}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0" hidden="0"/>
    </dxf>
    <dxf>
      <border outline="0">
        <top style="thin">
          <color indexed="64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ExtraBold"/>
        <family val="2"/>
        <scheme val="none"/>
      </font>
      <numFmt numFmtId="30" formatCode="@"/>
      <fill>
        <patternFill patternType="solid">
          <fgColor indexed="64"/>
          <bgColor rgb="FF00B0F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Ismael Sudally" refreshedDate="46015.431388773148" createdVersion="8" refreshedVersion="8" minRefreshableVersion="3" recordCount="62" xr:uid="{B5231BAA-D402-40A6-8861-93214296797C}">
  <cacheSource type="worksheet">
    <worksheetSource name="Table2"/>
  </cacheSource>
  <cacheFields count="20">
    <cacheField name="Staff Number" numFmtId="0">
      <sharedItems count="31">
        <s v="BAYN00058"/>
        <s v="BAYN00048"/>
        <s v="BAYN00047"/>
        <s v="BAYN00036"/>
        <s v="BAYN00006"/>
        <s v="BAYN00023"/>
        <s v="BAYN00033"/>
        <s v="BAYN00017"/>
        <s v="BAYN00044"/>
        <s v="BAYN00013"/>
        <s v="BAYN00064"/>
        <s v="BAYN00041"/>
        <s v="BAYN00046"/>
        <s v="TEMPS0101"/>
        <s v="BAYN00025"/>
        <s v="BAYN00004"/>
        <s v="BAYN00060"/>
        <s v="BAYN00014"/>
        <s v="BAYN00003"/>
        <s v="BAYN00018"/>
        <s v="BAYN00009"/>
        <s v="BAYN00008"/>
        <s v="TEMP1399"/>
        <s v="BAYN00051"/>
        <s v="BAYN00045"/>
        <s v="BAYN00038"/>
        <s v="BAYN00002"/>
        <s v="BAYN00075"/>
        <s v="BAYN00074"/>
        <s v="BAYN00049"/>
        <s v="BAYN00076"/>
      </sharedItems>
    </cacheField>
    <cacheField name="Principal Name" numFmtId="49">
      <sharedItems count="31">
        <s v="AHMED MAHER MAHER ABDELHAMID"/>
        <s v="AKRAM FOUD GABR KHADIER"/>
        <s v="ALEXANDER MANUAL VAZ"/>
        <s v="ALI RAOUF ABOUZAID"/>
        <s v="AMRO ALY ASMAEL"/>
        <s v="ANSHID CHERIYADAN"/>
        <s v="ASHRAF MOHAMMED HASSAN"/>
        <s v="DALIA HESHAM ELDALGAMOUNY"/>
        <s v="DIJESH THAZHATHETHIL"/>
        <s v="EMAL RAPHEL BENNY"/>
        <s v="ESRAA ESSAMELDIN FAHMY"/>
        <s v="GEZEIL RODRIGUEZ NATIVIDAD"/>
        <s v="HOSSAM ELSAYED ABDO EMAM"/>
        <s v="HUSSEIN ALI MLHEM"/>
        <s v="ILKHOM MAMAYUNUSOV"/>
        <s v="IMELDA MARCELO"/>
        <s v="KAREN ROSE MAMARAN GALLA"/>
        <s v="MAHMOUD SAEED MOHAMED"/>
        <s v="MICHAEL RUTMAN"/>
        <s v="MOHAMED ABDEL WAHED ABDEL"/>
        <s v="MOHAMED MATHAR ALI"/>
        <s v="MOHAMMAD ISMAEL SUDALLY"/>
        <s v="NADA MOHAMMED ALRABEY"/>
        <s v="NIKHIL PAWAR DILIP"/>
        <s v="SEDDIK GUEHAIRIA"/>
        <s v="SHAFEEQE VAKKAYIL"/>
        <s v="SYED IRFAN ZAKIUDDIN"/>
        <s v="VARUGHESE MALERIL KURIAKOSE"/>
        <s v="VIJAYAKUMAR PANGICHAN KUMARAN"/>
        <s v="VINA VILLAFLOR GONZALES"/>
        <s v="ZAHID AKTHAR ABDUL WAHEED"/>
      </sharedItems>
    </cacheField>
    <cacheField name="Principal Number" numFmtId="49">
      <sharedItems containsSemiMixedTypes="0" containsString="0" containsNumber="1" containsInteger="1" minValue="17980924" maxValue="42568553"/>
    </cacheField>
    <cacheField name="Member Number" numFmtId="49">
      <sharedItems containsSemiMixedTypes="0" containsString="0" containsNumber="1" containsInteger="1" minValue="17980924" maxValue="43215486"/>
    </cacheField>
    <cacheField name="Relation" numFmtId="49">
      <sharedItems count="3">
        <s v="PRINCIPAL"/>
        <s v="SPOUSE"/>
        <s v="CHILD"/>
      </sharedItems>
    </cacheField>
    <cacheField name="Member First Name" numFmtId="49">
      <sharedItems/>
    </cacheField>
    <cacheField name="Member Middle Name" numFmtId="49">
      <sharedItems/>
    </cacheField>
    <cacheField name="Member Last Name" numFmtId="49">
      <sharedItems/>
    </cacheField>
    <cacheField name="Gender" numFmtId="49">
      <sharedItems/>
    </cacheField>
    <cacheField name="Age" numFmtId="49">
      <sharedItems containsSemiMixedTypes="0" containsString="0" containsNumber="1" containsInteger="1" minValue="0" maxValue="66"/>
    </cacheField>
    <cacheField name="Date Of Birth" numFmtId="49">
      <sharedItems/>
    </cacheField>
    <cacheField name="Nationality" numFmtId="49">
      <sharedItems/>
    </cacheField>
    <cacheField name="Marital Status" numFmtId="49">
      <sharedItems/>
    </cacheField>
    <cacheField name="National Id Type" numFmtId="49">
      <sharedItems containsBlank="1"/>
    </cacheField>
    <cacheField name="National Identity" numFmtId="49">
      <sharedItems containsBlank="1"/>
    </cacheField>
    <cacheField name="Place of visa issuance" numFmtId="49">
      <sharedItems/>
    </cacheField>
    <cacheField name="Visa Unified Number" numFmtId="49">
      <sharedItems/>
    </cacheField>
    <cacheField name="Passport number" numFmtId="49">
      <sharedItems/>
    </cacheField>
    <cacheField name="Visa File Number" numFmtId="49">
      <sharedItems/>
    </cacheField>
    <cacheField name="Birth Certificate Number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  <n v="17980924"/>
    <n v="17980924"/>
    <x v="0"/>
    <s v="AHMED MAHER"/>
    <s v="MAHER"/>
    <s v="ABDELHAMID"/>
    <s v="MALE"/>
    <n v="31"/>
    <s v="22/06/1994"/>
    <s v="Egyptian"/>
    <s v="MARRIED"/>
    <s v="Emirates ID"/>
    <s v="784199449838541"/>
    <s v="ABU DHABI"/>
    <s v="194337905"/>
    <s v=""/>
    <s v="101/2025/7/79413"/>
    <s v=""/>
  </r>
  <r>
    <x v="1"/>
    <x v="1"/>
    <n v="41821886"/>
    <n v="41821886"/>
    <x v="0"/>
    <s v="AKRAM"/>
    <s v="FOUD GABR"/>
    <s v="KHADIER"/>
    <s v="MALE"/>
    <n v="38"/>
    <s v="03/03/1986"/>
    <s v="Tunisian"/>
    <s v="SINGLE"/>
    <s v="Emirates ID"/>
    <s v="784198960986143"/>
    <s v="ABU DHABI"/>
    <s v=""/>
    <s v=""/>
    <s v="101/2024/7/162962"/>
    <s v=""/>
  </r>
  <r>
    <x v="2"/>
    <x v="2"/>
    <n v="41766610"/>
    <n v="41766610"/>
    <x v="0"/>
    <s v="ALEXANDER"/>
    <s v="MANUAL"/>
    <s v="VAZ"/>
    <s v="MALE"/>
    <n v="66"/>
    <s v="06/03/1958"/>
    <s v="Indian"/>
    <s v="MARRIED"/>
    <s v="Emirates ID"/>
    <s v="784195820848034"/>
    <s v="ABU DHABI"/>
    <s v=""/>
    <s v=""/>
    <s v=""/>
    <s v=""/>
  </r>
  <r>
    <x v="2"/>
    <x v="2"/>
    <n v="41766610"/>
    <n v="41766617"/>
    <x v="1"/>
    <s v="BELLA"/>
    <s v="DOMINGO"/>
    <s v="VAZ"/>
    <s v="FEMALE"/>
    <n v="55"/>
    <s v="09/08/1969"/>
    <s v="Filipino"/>
    <s v="MARRIED"/>
    <s v="Emirates ID"/>
    <s v="784196916262031"/>
    <s v="ABU DHABI"/>
    <s v=""/>
    <s v=""/>
    <s v=""/>
    <s v=""/>
  </r>
  <r>
    <x v="2"/>
    <x v="2"/>
    <n v="41766610"/>
    <n v="41766615"/>
    <x v="2"/>
    <s v="ANNE"/>
    <s v="PHILOMENA"/>
    <s v="VAZ"/>
    <s v="FEMALE"/>
    <n v="32"/>
    <s v="05/04/1992"/>
    <s v="Filipino"/>
    <s v="SINGLE"/>
    <s v="Emirates ID"/>
    <s v="784199213032156"/>
    <s v="ABU DHABI"/>
    <s v=""/>
    <s v=""/>
    <s v=""/>
    <s v=""/>
  </r>
  <r>
    <x v="2"/>
    <x v="2"/>
    <n v="41766610"/>
    <n v="41766616"/>
    <x v="2"/>
    <s v="ANTONETTE"/>
    <s v="FILIPA"/>
    <s v="VAZ"/>
    <s v="FEMALE"/>
    <n v="24"/>
    <s v="05/01/2001"/>
    <s v="Portuguese"/>
    <s v="SINGLE"/>
    <s v="Emirates ID"/>
    <s v="784200103184923"/>
    <s v="ABU DHABI"/>
    <s v=""/>
    <s v=""/>
    <s v=""/>
    <s v=""/>
  </r>
  <r>
    <x v="2"/>
    <x v="2"/>
    <n v="41766610"/>
    <n v="41766618"/>
    <x v="2"/>
    <s v="SAM"/>
    <s v="ARNULFO"/>
    <s v="VAZ"/>
    <s v="MALE"/>
    <n v="17"/>
    <s v="19/10/2007"/>
    <s v="Portuguese"/>
    <s v="SINGLE"/>
    <s v="Emirates ID"/>
    <s v="784200758592529"/>
    <s v="ABU DHABI"/>
    <s v=""/>
    <s v=""/>
    <s v=""/>
    <s v=""/>
  </r>
  <r>
    <x v="3"/>
    <x v="3"/>
    <n v="41766077"/>
    <n v="41766077"/>
    <x v="0"/>
    <s v="ALI"/>
    <s v="RAOUF"/>
    <s v="ABOUZAID"/>
    <s v="MALE"/>
    <n v="31"/>
    <s v="25/11/1993"/>
    <s v="Egyptian"/>
    <s v="SINGLE"/>
    <s v="Emirates ID"/>
    <s v="784199381628207"/>
    <s v="ABU DHABI"/>
    <s v=""/>
    <s v=""/>
    <s v=""/>
    <s v=""/>
  </r>
  <r>
    <x v="4"/>
    <x v="4"/>
    <n v="41766068"/>
    <n v="41766068"/>
    <x v="0"/>
    <s v="AMRO"/>
    <s v="ALY"/>
    <s v="ASMAEL"/>
    <s v="MALE"/>
    <n v="42"/>
    <s v="20/12/1982"/>
    <s v="Hungarian"/>
    <s v="MARRIED"/>
    <s v="Emirates ID"/>
    <s v="784198295905792"/>
    <s v="ABU DHABI"/>
    <s v=""/>
    <s v=""/>
    <s v=""/>
    <s v=""/>
  </r>
  <r>
    <x v="5"/>
    <x v="5"/>
    <n v="41821885"/>
    <n v="41821885"/>
    <x v="0"/>
    <s v="ANSHID"/>
    <s v=""/>
    <s v="CHERIYADAN"/>
    <s v="MALE"/>
    <n v="33"/>
    <s v="13/11/1991"/>
    <s v="Indian"/>
    <s v="MARRIED"/>
    <s v="Emirates ID"/>
    <s v="784199104902913"/>
    <s v="ABU DHABI"/>
    <s v=""/>
    <s v=""/>
    <s v="101/2024/7/22694"/>
    <s v=""/>
  </r>
  <r>
    <x v="5"/>
    <x v="5"/>
    <n v="41821885"/>
    <n v="41996714"/>
    <x v="1"/>
    <s v="FIDHA"/>
    <s v="AHMED"/>
    <s v="MACHINGAL"/>
    <s v="FEMALE"/>
    <n v="26"/>
    <s v="02/12/1998"/>
    <s v="Indian"/>
    <s v="MARRIED"/>
    <s v="Emirates ID"/>
    <m/>
    <s v="ABU DHABI"/>
    <s v="238740344"/>
    <s v=""/>
    <s v="101/2025/3/15976"/>
    <s v=""/>
  </r>
  <r>
    <x v="5"/>
    <x v="5"/>
    <n v="41821885"/>
    <n v="41996715"/>
    <x v="2"/>
    <s v="HAALA"/>
    <s v=""/>
    <s v="ZOOHI"/>
    <s v="FEMALE"/>
    <n v="0"/>
    <s v="05/09/2024"/>
    <s v="Indian"/>
    <s v="SINGLE"/>
    <s v="Emirates ID"/>
    <m/>
    <s v="ABU DHABI"/>
    <s v="84155796"/>
    <s v="C4381696"/>
    <s v="101/2025/3/15978"/>
    <s v=""/>
  </r>
  <r>
    <x v="6"/>
    <x v="6"/>
    <n v="41766076"/>
    <n v="41766076"/>
    <x v="0"/>
    <s v="ASHRAF"/>
    <s v="MOHAMMED"/>
    <s v="HASSAN"/>
    <s v="MALE"/>
    <n v="27"/>
    <s v="02/10/1997"/>
    <s v="Indian"/>
    <s v="SINGLE"/>
    <s v="Emirates ID"/>
    <s v="784199759431382"/>
    <s v="ABU DHABI"/>
    <s v=""/>
    <s v=""/>
    <s v=""/>
    <s v=""/>
  </r>
  <r>
    <x v="7"/>
    <x v="7"/>
    <n v="41766063"/>
    <n v="41766063"/>
    <x v="0"/>
    <s v="DALIA"/>
    <s v="HESHAM"/>
    <s v="ELDALGAMOUNY"/>
    <s v="MALE"/>
    <n v="31"/>
    <s v="29/09/1993"/>
    <s v="Egyptian"/>
    <s v="SINGLE"/>
    <s v="Emirates ID"/>
    <s v="784199348693690"/>
    <s v="ABU DHABI"/>
    <s v=""/>
    <s v=""/>
    <s v=""/>
    <s v=""/>
  </r>
  <r>
    <x v="8"/>
    <x v="8"/>
    <n v="41766078"/>
    <n v="41766078"/>
    <x v="0"/>
    <s v="DIJESH"/>
    <s v=""/>
    <s v="THAZHATHETHIL"/>
    <s v="MALE"/>
    <n v="31"/>
    <s v="23/08/1993"/>
    <s v="Indian"/>
    <s v="MARRIED"/>
    <s v="Emirates ID"/>
    <s v="784199356571358"/>
    <s v="ABU DHABI"/>
    <s v=""/>
    <s v=""/>
    <s v=""/>
    <s v=""/>
  </r>
  <r>
    <x v="8"/>
    <x v="8"/>
    <n v="41766078"/>
    <n v="41778687"/>
    <x v="1"/>
    <s v="AISHWARYA"/>
    <s v="RAJESH"/>
    <s v="RAJESH"/>
    <s v="FEMALE"/>
    <n v="25"/>
    <s v="24/04/1999"/>
    <s v="Indian"/>
    <s v="MARRIED"/>
    <s v="Emirates ID"/>
    <s v="784199941084883"/>
    <s v="ABU DHABI"/>
    <s v=""/>
    <s v=""/>
    <s v="101/2025/3/2935"/>
    <s v=""/>
  </r>
  <r>
    <x v="9"/>
    <x v="9"/>
    <n v="41766072"/>
    <n v="41766072"/>
    <x v="0"/>
    <s v="EMAL"/>
    <s v="RAPHEL"/>
    <s v="BENNY"/>
    <s v="MALE"/>
    <n v="27"/>
    <s v="15/06/1997"/>
    <s v="Indian"/>
    <s v="SINGLE"/>
    <s v="Emirates ID"/>
    <s v="784199721758896"/>
    <s v="ABU DHABI"/>
    <s v=""/>
    <s v=""/>
    <s v=""/>
    <s v=""/>
  </r>
  <r>
    <x v="10"/>
    <x v="10"/>
    <n v="41112312"/>
    <n v="41112312"/>
    <x v="0"/>
    <s v="ESRAA"/>
    <s v="ESSAMELDIN"/>
    <s v="FAHMY"/>
    <s v="FEMALE"/>
    <n v="35"/>
    <s v="24/11/1989"/>
    <s v="Egyptian"/>
    <s v="SINGLE"/>
    <s v="Emirates ID"/>
    <s v="784198918634654"/>
    <s v="ABU DHABI"/>
    <s v="229361658"/>
    <s v=""/>
    <s v="101/2025/7/0107118"/>
    <s v=""/>
  </r>
  <r>
    <x v="11"/>
    <x v="11"/>
    <n v="41766084"/>
    <n v="41766084"/>
    <x v="0"/>
    <s v="GEZEIL"/>
    <s v="RODRIGUEZ"/>
    <s v="NATIVIDAD"/>
    <s v="FEMALE"/>
    <n v="39"/>
    <s v="11/05/1985"/>
    <s v="Filipino"/>
    <s v="MARRIED"/>
    <s v="Emirates ID"/>
    <s v="784198518213933"/>
    <s v="ABU DHABI"/>
    <s v=""/>
    <s v=""/>
    <s v=""/>
    <s v=""/>
  </r>
  <r>
    <x v="11"/>
    <x v="11"/>
    <n v="41766084"/>
    <n v="41766100"/>
    <x v="1"/>
    <s v="MARC"/>
    <s v="JASON PERERAS"/>
    <s v="PUNZALAN"/>
    <s v="MALE"/>
    <n v="39"/>
    <s v="19/12/1985"/>
    <s v="Filipino"/>
    <s v="MARRIED"/>
    <s v="Emirates ID"/>
    <s v="784198507971327"/>
    <s v="ABU DHABI"/>
    <s v=""/>
    <s v=""/>
    <s v=""/>
    <s v=""/>
  </r>
  <r>
    <x v="11"/>
    <x v="11"/>
    <n v="41766084"/>
    <n v="41766101"/>
    <x v="2"/>
    <s v="MARC JOSHUA"/>
    <s v="NATIVIDAD"/>
    <s v="PUNZALAN"/>
    <s v="MALE"/>
    <n v="7"/>
    <s v="29/06/2017"/>
    <s v="Filipino"/>
    <s v="SINGLE"/>
    <s v="Emirates ID"/>
    <s v="784201710754686"/>
    <s v="ABU DHABI"/>
    <s v=""/>
    <s v=""/>
    <s v=""/>
    <s v=""/>
  </r>
  <r>
    <x v="11"/>
    <x v="11"/>
    <n v="41766084"/>
    <n v="41766102"/>
    <x v="2"/>
    <s v="MARC RIZEN"/>
    <s v="NATIVIDAD"/>
    <s v="PUNZALAN"/>
    <s v="MALE"/>
    <n v="19"/>
    <s v="25/02/2006"/>
    <s v="Filipino"/>
    <s v="SINGLE"/>
    <s v="Emirates ID"/>
    <s v="784200675170805"/>
    <s v="ABU DHABI"/>
    <s v=""/>
    <s v=""/>
    <s v=""/>
    <s v=""/>
  </r>
  <r>
    <x v="12"/>
    <x v="12"/>
    <n v="41766080"/>
    <n v="41766080"/>
    <x v="0"/>
    <s v="HOSSAM"/>
    <s v="ELSAYED ABDO"/>
    <s v="EMAM"/>
    <s v="MALE"/>
    <n v="57"/>
    <s v="24/02/1968"/>
    <s v="Egyptian"/>
    <s v="MARRIED"/>
    <s v="Emirates ID"/>
    <s v="784196885315828"/>
    <s v="DUBAI"/>
    <s v="201/2024/7/569977"/>
    <s v="A25463742"/>
    <s v="201/2024/7/569977"/>
    <s v=""/>
  </r>
  <r>
    <x v="12"/>
    <x v="12"/>
    <n v="41766080"/>
    <n v="41766099"/>
    <x v="1"/>
    <s v="RANYA"/>
    <s v="HELMY"/>
    <s v="ELHABAL"/>
    <s v="FEMALE"/>
    <n v="48"/>
    <s v="04/03/1976"/>
    <s v="Egyptian"/>
    <s v="MARRIED"/>
    <s v="Emirates ID"/>
    <s v="784197630935712"/>
    <s v="DUBAI"/>
    <s v="201/2024/3/825742"/>
    <s v="A25463879"/>
    <s v="201/2024/3/825742"/>
    <s v=""/>
  </r>
  <r>
    <x v="13"/>
    <x v="13"/>
    <n v="41766083"/>
    <n v="41766083"/>
    <x v="0"/>
    <s v="HUSSEIN"/>
    <s v="ALI"/>
    <s v="MLHEM"/>
    <s v="MALE"/>
    <n v="30"/>
    <s v="01/01/1995"/>
    <s v="Syrian"/>
    <s v="SINGLE"/>
    <s v="Emirates ID"/>
    <s v="784199593222104"/>
    <s v="ABU DHABI"/>
    <s v=""/>
    <s v=""/>
    <s v=""/>
    <s v=""/>
  </r>
  <r>
    <x v="13"/>
    <x v="13"/>
    <n v="41766083"/>
    <n v="43215486"/>
    <x v="1"/>
    <s v="MARAM"/>
    <s v="GAMAL"/>
    <s v="IBRAHEEM"/>
    <s v="FEMALE"/>
    <n v="28"/>
    <s v="15/03/1997"/>
    <s v="Syrian"/>
    <s v="MARRIED"/>
    <s v="UID No."/>
    <m/>
    <s v="ABU DHABI"/>
    <s v="86162946"/>
    <s v=""/>
    <s v="101/2025/3/128018"/>
    <s v=""/>
  </r>
  <r>
    <x v="14"/>
    <x v="14"/>
    <n v="41766075"/>
    <n v="41766075"/>
    <x v="0"/>
    <s v="ILKHOM"/>
    <s v=""/>
    <s v="MAMAYUNUSOV"/>
    <s v="MALE"/>
    <n v="30"/>
    <s v="07/08/1994"/>
    <s v="Uzbek"/>
    <s v="MARRIED"/>
    <s v="Emirates ID"/>
    <s v="784199481070847"/>
    <s v="ABU DHABI"/>
    <s v=""/>
    <s v=""/>
    <s v=""/>
    <s v=""/>
  </r>
  <r>
    <x v="14"/>
    <x v="14"/>
    <n v="41766075"/>
    <n v="41766097"/>
    <x v="1"/>
    <s v="MADINA"/>
    <s v=""/>
    <s v="MAMAYUNUSOVA"/>
    <s v="FEMALE"/>
    <n v="27"/>
    <s v="13/03/1997"/>
    <s v="Uzbek"/>
    <s v="MARRIED"/>
    <s v="Emirates ID"/>
    <s v="784199761641507"/>
    <s v="ABU DHABI"/>
    <s v=""/>
    <s v=""/>
    <s v=""/>
    <s v=""/>
  </r>
  <r>
    <x v="14"/>
    <x v="14"/>
    <n v="41766075"/>
    <n v="41766098"/>
    <x v="2"/>
    <s v="SAFIYA"/>
    <s v=""/>
    <s v="MAMAYUNUSOVA"/>
    <s v="FEMALE"/>
    <n v="2"/>
    <s v="29/07/2022"/>
    <s v="Uzbek"/>
    <s v="SINGLE"/>
    <s v="Emirates ID"/>
    <s v="784202230813507"/>
    <s v="ABU DHABI"/>
    <s v=""/>
    <s v=""/>
    <s v=""/>
    <s v=""/>
  </r>
  <r>
    <x v="14"/>
    <x v="14"/>
    <n v="41766075"/>
    <n v="41996716"/>
    <x v="2"/>
    <s v="MARYAM"/>
    <s v="ILKHOMOVNA"/>
    <s v="MAMAYUNUSOVA"/>
    <s v="FEMALE"/>
    <n v="0"/>
    <s v="17/02/2025"/>
    <s v="Uzbek"/>
    <s v="SINGLE"/>
    <m/>
    <m/>
    <s v="ABU DHABI"/>
    <s v="256363639"/>
    <s v=""/>
    <s v=""/>
    <s v="AD/BTH-NC/0004906/2025"/>
  </r>
  <r>
    <x v="15"/>
    <x v="15"/>
    <n v="41766067"/>
    <n v="41766067"/>
    <x v="0"/>
    <s v="IMELDA"/>
    <s v=""/>
    <s v="MARCELO"/>
    <s v="FEMALE"/>
    <n v="46"/>
    <s v="06/05/1978"/>
    <s v="Filipino"/>
    <s v="MARRIED"/>
    <s v="Emirates ID"/>
    <s v="784197842625168"/>
    <s v="ABU DHABI"/>
    <s v=""/>
    <s v=""/>
    <s v=""/>
    <s v=""/>
  </r>
  <r>
    <x v="15"/>
    <x v="15"/>
    <n v="41766067"/>
    <n v="41766089"/>
    <x v="2"/>
    <s v="MARY"/>
    <s v="JONIELLE"/>
    <s v="MARCELO"/>
    <s v="FEMALE"/>
    <n v="15"/>
    <s v="28/05/2009"/>
    <s v="Filipino"/>
    <s v="SINGLE"/>
    <s v="Emirates ID"/>
    <s v="784200948096324"/>
    <s v="ABU DHABI"/>
    <s v=""/>
    <s v=""/>
    <s v=""/>
    <s v=""/>
  </r>
  <r>
    <x v="15"/>
    <x v="15"/>
    <n v="41766067"/>
    <n v="41766090"/>
    <x v="2"/>
    <s v="JOHN"/>
    <s v="RONMEL"/>
    <s v="MARCELO"/>
    <s v="MALE"/>
    <n v="11"/>
    <s v="04/04/2013"/>
    <s v="Filipino"/>
    <s v="SINGLE"/>
    <s v="Emirates ID"/>
    <s v="784201383649130"/>
    <s v="ABU DHABI"/>
    <s v=""/>
    <s v=""/>
    <s v=""/>
    <s v=""/>
  </r>
  <r>
    <x v="16"/>
    <x v="16"/>
    <n v="42242356"/>
    <n v="42242356"/>
    <x v="0"/>
    <s v="KAREN"/>
    <s v="ROSE"/>
    <s v="MAMARAN GALLA"/>
    <s v="FEMALE"/>
    <n v="43"/>
    <s v="08/09/1981"/>
    <s v="Filipino"/>
    <s v="SINGLE"/>
    <s v="Emirates ID"/>
    <s v="784198194838060"/>
    <s v="ABU DHABI"/>
    <s v="139385641"/>
    <s v=""/>
    <s v="101/2025/7/81286"/>
    <s v=""/>
  </r>
  <r>
    <x v="17"/>
    <x v="17"/>
    <n v="41766073"/>
    <n v="41766073"/>
    <x v="0"/>
    <s v="MAHMOUD"/>
    <s v="SAEED"/>
    <s v="MOHAMED"/>
    <s v="MALE"/>
    <n v="45"/>
    <s v="01/01/1980"/>
    <s v="Egyptian"/>
    <s v="MARRIED"/>
    <s v="Emirates ID"/>
    <s v="784198027024375"/>
    <s v="ABU DHABI"/>
    <s v=""/>
    <s v=""/>
    <s v=""/>
    <s v=""/>
  </r>
  <r>
    <x v="17"/>
    <x v="17"/>
    <n v="41766073"/>
    <n v="41766092"/>
    <x v="1"/>
    <s v="KAMAR"/>
    <s v="AHMED"/>
    <s v="DESOUKY"/>
    <s v="FEMALE"/>
    <n v="41"/>
    <s v="09/07/1983"/>
    <s v="Egyptian"/>
    <s v="MARRIED"/>
    <s v="Emirates ID"/>
    <s v="784198385841535"/>
    <s v="ABU DHABI"/>
    <s v=""/>
    <s v=""/>
    <s v=""/>
    <s v=""/>
  </r>
  <r>
    <x v="17"/>
    <x v="17"/>
    <n v="41766073"/>
    <n v="41766093"/>
    <x v="2"/>
    <s v="NEAMA"/>
    <s v="MAHMOUD"/>
    <s v="SALAMA"/>
    <s v="FEMALE"/>
    <n v="12"/>
    <s v="31/10/2012"/>
    <s v="Egyptian"/>
    <s v="SINGLE"/>
    <s v="Emirates ID"/>
    <s v="784201210643694"/>
    <s v="ABU DHABI"/>
    <s v=""/>
    <s v=""/>
    <s v=""/>
    <s v=""/>
  </r>
  <r>
    <x v="17"/>
    <x v="17"/>
    <n v="41766073"/>
    <n v="41766094"/>
    <x v="2"/>
    <s v="SAID"/>
    <s v="MAHMOUD"/>
    <s v="SALAMA"/>
    <s v="MALE"/>
    <n v="16"/>
    <s v="24/06/2008"/>
    <s v="Egyptian"/>
    <s v="SINGLE"/>
    <s v="Emirates ID"/>
    <s v="784200850271048"/>
    <s v="ABU DHABI"/>
    <s v=""/>
    <s v=""/>
    <s v=""/>
    <s v=""/>
  </r>
  <r>
    <x v="17"/>
    <x v="17"/>
    <n v="41766073"/>
    <n v="41766095"/>
    <x v="2"/>
    <s v="AHMED"/>
    <s v="MAHMOUD"/>
    <s v="SALAMA"/>
    <s v="MALE"/>
    <n v="6"/>
    <s v="20/10/2018"/>
    <s v="Egyptian"/>
    <s v="SINGLE"/>
    <s v="Emirates ID"/>
    <s v="784201843170685"/>
    <s v="ABU DHABI"/>
    <s v=""/>
    <s v=""/>
    <s v=""/>
    <s v=""/>
  </r>
  <r>
    <x v="17"/>
    <x v="17"/>
    <n v="41766073"/>
    <n v="41766096"/>
    <x v="2"/>
    <s v="OSAMA"/>
    <s v="MAHMOUD"/>
    <s v="SALAMA"/>
    <s v="MALE"/>
    <n v="18"/>
    <s v="09/04/2006"/>
    <s v="Egyptian"/>
    <s v="SINGLE"/>
    <s v="Emirates ID"/>
    <s v="784200607425723"/>
    <s v="ABU DHABI"/>
    <s v=""/>
    <s v=""/>
    <s v=""/>
    <s v=""/>
  </r>
  <r>
    <x v="18"/>
    <x v="18"/>
    <n v="41766066"/>
    <n v="41766066"/>
    <x v="0"/>
    <s v="MICHAEL"/>
    <s v=""/>
    <s v="RUTMAN"/>
    <s v="MALE"/>
    <n v="45"/>
    <s v="21/07/1979"/>
    <s v="Israeli"/>
    <s v="MARRIED"/>
    <s v="Emirates ID"/>
    <s v="784197964811042"/>
    <s v="ABU DHABI"/>
    <s v=""/>
    <s v=""/>
    <s v=""/>
    <s v=""/>
  </r>
  <r>
    <x v="19"/>
    <x v="19"/>
    <n v="41766074"/>
    <n v="41766074"/>
    <x v="0"/>
    <s v="MOHAMED"/>
    <s v="ABDEL WAHED"/>
    <s v="ABDEL"/>
    <s v="MALE"/>
    <n v="38"/>
    <s v="28/08/1986"/>
    <s v="Egyptian"/>
    <s v="SINGLE"/>
    <s v="Emirates ID"/>
    <s v="784198605940935"/>
    <s v="ABU DHABI"/>
    <s v=""/>
    <s v=""/>
    <s v=""/>
    <s v=""/>
  </r>
  <r>
    <x v="20"/>
    <x v="20"/>
    <n v="41766070"/>
    <n v="41766070"/>
    <x v="0"/>
    <s v="MOHAMED"/>
    <s v="MATHAR"/>
    <s v="ALI"/>
    <s v="MALE"/>
    <n v="38"/>
    <s v="03/02/1987"/>
    <s v="Indian"/>
    <s v="MARRIED"/>
    <s v="Emirates ID"/>
    <s v="784198791717089"/>
    <s v="ABU DHABI"/>
    <s v=""/>
    <s v=""/>
    <s v=""/>
    <s v=""/>
  </r>
  <r>
    <x v="21"/>
    <x v="21"/>
    <n v="41766069"/>
    <n v="41766069"/>
    <x v="0"/>
    <s v="MOHAMMAD"/>
    <s v="ISMAEL"/>
    <s v="SUDALLY"/>
    <s v="MALE"/>
    <n v="36"/>
    <s v="16/05/1988"/>
    <s v="Mauritian"/>
    <s v="MARRIED"/>
    <s v="Emirates ID"/>
    <s v="784198815216803"/>
    <s v="ABU DHABI"/>
    <s v=""/>
    <s v=""/>
    <s v=""/>
    <s v=""/>
  </r>
  <r>
    <x v="22"/>
    <x v="22"/>
    <n v="41766082"/>
    <n v="41766082"/>
    <x v="0"/>
    <s v="NADA"/>
    <s v="MOHAMMED"/>
    <s v="ALRABEY"/>
    <s v="FEMALE"/>
    <n v="25"/>
    <s v="13/06/1999"/>
    <s v="Egyptian"/>
    <s v="SINGLE"/>
    <s v="Emirates ID"/>
    <s v="784199906217288"/>
    <s v="ABU DHABI"/>
    <s v=""/>
    <s v=""/>
    <s v=""/>
    <s v=""/>
  </r>
  <r>
    <x v="23"/>
    <x v="23"/>
    <n v="42026889"/>
    <n v="42026889"/>
    <x v="0"/>
    <s v="NIKHIL PAWAR"/>
    <s v=""/>
    <s v="DILIP"/>
    <s v="MALE"/>
    <n v="31"/>
    <s v="11/06/1993"/>
    <s v="Indian"/>
    <s v="SINGLE"/>
    <s v="Emirates ID"/>
    <m/>
    <s v="ABU DHABI"/>
    <s v="243705166"/>
    <s v=""/>
    <s v="101/2025/7/39107"/>
    <s v=""/>
  </r>
  <r>
    <x v="24"/>
    <x v="24"/>
    <n v="41766079"/>
    <n v="41766079"/>
    <x v="0"/>
    <s v="SEDDIK"/>
    <s v=""/>
    <s v="GUEHAIRIA"/>
    <s v="MALE"/>
    <n v="39"/>
    <s v="08/03/1985"/>
    <s v="Algerian"/>
    <s v="MARRIED"/>
    <s v="Emirates ID"/>
    <s v="784198572143810"/>
    <s v="ABU DHABI"/>
    <s v=""/>
    <s v=""/>
    <s v=""/>
    <s v=""/>
  </r>
  <r>
    <x v="24"/>
    <x v="24"/>
    <n v="41766079"/>
    <n v="42618855"/>
    <x v="1"/>
    <s v="SAIDA"/>
    <s v=""/>
    <s v="HAMDI"/>
    <s v="FEMALE"/>
    <n v="39"/>
    <s v="04/08/1986"/>
    <s v="Algerian"/>
    <s v="MARRIED"/>
    <s v="Emirates ID"/>
    <m/>
    <s v="ABU DHABI"/>
    <s v="86646140"/>
    <s v=""/>
    <s v="101/2025/3/99640"/>
    <s v=""/>
  </r>
  <r>
    <x v="25"/>
    <x v="25"/>
    <n v="41766064"/>
    <n v="41766064"/>
    <x v="0"/>
    <s v="SHAFEEQE"/>
    <s v=""/>
    <s v="VAKKAYIL"/>
    <s v="MALE"/>
    <n v="35"/>
    <s v="10/05/1989"/>
    <s v="Indian"/>
    <s v="MARRIED"/>
    <s v="Emirates ID"/>
    <s v="784198927980502"/>
    <s v="ABU DHABI"/>
    <s v=""/>
    <s v=""/>
    <s v=""/>
    <s v=""/>
  </r>
  <r>
    <x v="25"/>
    <x v="25"/>
    <n v="41766064"/>
    <n v="41766085"/>
    <x v="1"/>
    <s v="JASEENA"/>
    <s v="SHARIN"/>
    <s v="PUTHIYAKATH"/>
    <s v="FEMALE"/>
    <n v="28"/>
    <s v="04/11/1996"/>
    <s v="Indian"/>
    <s v="MARRIED"/>
    <s v="Emirates ID"/>
    <s v="784199624286466"/>
    <s v="ABU DHABI"/>
    <s v=""/>
    <s v=""/>
    <s v=""/>
    <s v=""/>
  </r>
  <r>
    <x v="25"/>
    <x v="25"/>
    <n v="41766064"/>
    <n v="41766086"/>
    <x v="2"/>
    <s v="MUHAMMAD"/>
    <s v="HANOON"/>
    <s v="VAKKAYIL"/>
    <s v="MALE"/>
    <n v="6"/>
    <s v="23/04/2018"/>
    <s v="Indian"/>
    <s v="SINGLE"/>
    <s v="Emirates ID"/>
    <s v="784201871021842"/>
    <s v="ABU DHABI"/>
    <s v=""/>
    <s v=""/>
    <s v=""/>
    <s v=""/>
  </r>
  <r>
    <x v="25"/>
    <x v="25"/>
    <n v="41766064"/>
    <n v="41766087"/>
    <x v="2"/>
    <s v="YAARA"/>
    <s v="MARIYAM"/>
    <s v="VAKKAYIL"/>
    <s v="FEMALE"/>
    <n v="2"/>
    <s v="09/06/2022"/>
    <s v="Indian"/>
    <s v="SINGLE"/>
    <s v="Emirates ID"/>
    <s v="784202265298285"/>
    <s v="ABU DHABI"/>
    <s v=""/>
    <s v=""/>
    <s v=""/>
    <s v=""/>
  </r>
  <r>
    <x v="26"/>
    <x v="26"/>
    <n v="41766065"/>
    <n v="41766065"/>
    <x v="0"/>
    <s v="SYED"/>
    <s v="IRFAN"/>
    <s v="ZAKIUDDIN"/>
    <s v="MALE"/>
    <n v="45"/>
    <s v="11/03/1979"/>
    <s v="Indian"/>
    <s v="MARRIED"/>
    <s v="Emirates ID"/>
    <s v="784197904165368"/>
    <s v="DUBAI"/>
    <s v="201/2022/7/628988"/>
    <s v="Z3798966"/>
    <s v="201/2022/7/628988"/>
    <s v=""/>
  </r>
  <r>
    <x v="26"/>
    <x v="26"/>
    <n v="41766065"/>
    <n v="41766088"/>
    <x v="1"/>
    <s v="AMINA"/>
    <s v=""/>
    <s v="FARHEEN"/>
    <s v="FEMALE"/>
    <n v="46"/>
    <s v="07/01/1979"/>
    <s v="Indian"/>
    <s v="MARRIED"/>
    <s v="Emirates ID"/>
    <s v="784197990364081"/>
    <s v="DUBAI"/>
    <s v="201/2024/3/967639"/>
    <s v="R8080807"/>
    <s v="201/2024/3/967639"/>
    <s v=""/>
  </r>
  <r>
    <x v="26"/>
    <x v="26"/>
    <n v="41766065"/>
    <n v="41766103"/>
    <x v="2"/>
    <s v="SARAH"/>
    <s v="IRFAN"/>
    <s v="ALI"/>
    <s v="FEMALE"/>
    <n v="9"/>
    <s v="25/03/2015"/>
    <s v="Indian"/>
    <s v="SINGLE"/>
    <s v="Emirates ID"/>
    <s v="784201561646320"/>
    <s v="DUBAI"/>
    <s v="201/2024/3/967640"/>
    <s v="T8941609"/>
    <s v="201/2024/3/967640"/>
    <s v=""/>
  </r>
  <r>
    <x v="26"/>
    <x v="26"/>
    <n v="41766065"/>
    <n v="41766104"/>
    <x v="2"/>
    <s v="NAILAH"/>
    <s v="IRFAN"/>
    <s v="ALI"/>
    <s v="FEMALE"/>
    <n v="11"/>
    <s v="19/05/2013"/>
    <s v="Indian"/>
    <s v="SINGLE"/>
    <s v="Emirates ID"/>
    <s v="784201382813604"/>
    <s v="DUBAI"/>
    <s v="201/2024/3/968107"/>
    <s v="Y7364000"/>
    <s v="201/2024/3/968107"/>
    <s v=""/>
  </r>
  <r>
    <x v="27"/>
    <x v="27"/>
    <n v="42568552"/>
    <n v="42568552"/>
    <x v="0"/>
    <s v="VARUGHESE"/>
    <s v="MALERIL"/>
    <s v="KURIAKOSE"/>
    <s v="MALE"/>
    <n v="54"/>
    <s v="16/05/1971"/>
    <s v="Indian"/>
    <s v="MARRIED"/>
    <s v="Emirates ID"/>
    <s v="784197159162409"/>
    <s v="ABU DHABI"/>
    <s v="37193610"/>
    <s v=""/>
    <s v="101/2025/7/135545"/>
    <s v=""/>
  </r>
  <r>
    <x v="28"/>
    <x v="28"/>
    <n v="42568553"/>
    <n v="42568553"/>
    <x v="0"/>
    <s v="VIJAYAKUMAR"/>
    <s v="PANGICHAN"/>
    <s v="KUMARAN"/>
    <s v="MALE"/>
    <n v="46"/>
    <s v="22/05/1979"/>
    <s v="Indian"/>
    <s v="MARRIED"/>
    <s v="Emirates ID"/>
    <s v="784197941724136"/>
    <s v="ABU DHABI"/>
    <s v="159225651"/>
    <s v=""/>
    <s v="101/2025/7/133649"/>
    <s v=""/>
  </r>
  <r>
    <x v="29"/>
    <x v="29"/>
    <n v="41766081"/>
    <n v="41766081"/>
    <x v="0"/>
    <s v="VINA"/>
    <s v="VILLAFLOR"/>
    <s v="GONZALES"/>
    <s v="FEMALE"/>
    <n v="31"/>
    <s v="14/07/1993"/>
    <s v="Filipino"/>
    <s v="SINGLE"/>
    <s v="Emirates ID"/>
    <s v="784199306873144"/>
    <s v="ABU DHABI"/>
    <s v=""/>
    <s v=""/>
    <s v=""/>
    <s v=""/>
  </r>
  <r>
    <x v="30"/>
    <x v="30"/>
    <n v="42501466"/>
    <n v="42501466"/>
    <x v="0"/>
    <s v="ZAHID"/>
    <s v="AKTHAR ABDUL"/>
    <s v="WAHEED"/>
    <s v="MALE"/>
    <n v="52"/>
    <s v="08/12/1972"/>
    <s v="Indian"/>
    <s v="MARRIED"/>
    <s v="Emirates ID"/>
    <s v="784197283257539"/>
    <s v="ABU DHABI"/>
    <s v="33372145"/>
    <s v=""/>
    <s v="101/2025/7/133918"/>
    <s v=""/>
  </r>
  <r>
    <x v="30"/>
    <x v="30"/>
    <n v="42501466"/>
    <n v="42568554"/>
    <x v="1"/>
    <s v="SANOBAR"/>
    <s v="JAHAN ZAHID AKHTAR"/>
    <s v="SHAIKH"/>
    <s v="FEMALE"/>
    <n v="48"/>
    <s v="16/02/1977"/>
    <s v="Indian"/>
    <s v="MARRIED"/>
    <s v="Emirates ID"/>
    <s v="784197772851859"/>
    <s v="ABU DHABI"/>
    <s v="784197772851859"/>
    <s v=""/>
    <s v="101/2025/3/104799"/>
    <s v=""/>
  </r>
  <r>
    <x v="30"/>
    <x v="30"/>
    <n v="42501466"/>
    <n v="42568555"/>
    <x v="2"/>
    <s v="MOHAMMED"/>
    <s v="ZAMAN ZAHID AKHTAR"/>
    <s v="SHAIKH"/>
    <s v="MALE"/>
    <n v="17"/>
    <s v="26/04/2008"/>
    <s v="Indian"/>
    <s v="SINGLE"/>
    <s v="Emirates ID"/>
    <s v="784200830587653"/>
    <s v="ABU DHABI"/>
    <s v="784200830587653"/>
    <s v=""/>
    <s v="101/2025/3/104803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5B1CA-8012-4E4B-8E55-A9F705ED4D16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7" firstHeaderRow="1" firstDataRow="2" firstDataCol="1"/>
  <pivotFields count="20">
    <pivotField axis="axisRow" showAll="0">
      <items count="32">
        <item x="26"/>
        <item x="18"/>
        <item x="15"/>
        <item x="4"/>
        <item x="21"/>
        <item x="20"/>
        <item x="9"/>
        <item x="17"/>
        <item x="7"/>
        <item x="19"/>
        <item x="5"/>
        <item x="14"/>
        <item x="6"/>
        <item x="3"/>
        <item x="25"/>
        <item x="11"/>
        <item x="8"/>
        <item x="24"/>
        <item x="12"/>
        <item x="2"/>
        <item x="1"/>
        <item x="29"/>
        <item x="23"/>
        <item x="0"/>
        <item x="16"/>
        <item x="10"/>
        <item x="28"/>
        <item x="27"/>
        <item x="30"/>
        <item x="22"/>
        <item x="13"/>
        <item t="default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49" showAll="0"/>
    <pivotField numFmtId="49"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63">
    <i>
      <x/>
    </i>
    <i r="1">
      <x v="26"/>
    </i>
    <i>
      <x v="1"/>
    </i>
    <i r="1">
      <x v="18"/>
    </i>
    <i>
      <x v="2"/>
    </i>
    <i r="1">
      <x v="15"/>
    </i>
    <i>
      <x v="3"/>
    </i>
    <i r="1">
      <x v="4"/>
    </i>
    <i>
      <x v="4"/>
    </i>
    <i r="1">
      <x v="21"/>
    </i>
    <i>
      <x v="5"/>
    </i>
    <i r="1">
      <x v="20"/>
    </i>
    <i>
      <x v="6"/>
    </i>
    <i r="1">
      <x v="9"/>
    </i>
    <i>
      <x v="7"/>
    </i>
    <i r="1">
      <x v="17"/>
    </i>
    <i>
      <x v="8"/>
    </i>
    <i r="1">
      <x v="7"/>
    </i>
    <i>
      <x v="9"/>
    </i>
    <i r="1">
      <x v="19"/>
    </i>
    <i>
      <x v="10"/>
    </i>
    <i r="1">
      <x v="5"/>
    </i>
    <i>
      <x v="11"/>
    </i>
    <i r="1">
      <x v="14"/>
    </i>
    <i>
      <x v="12"/>
    </i>
    <i r="1">
      <x v="6"/>
    </i>
    <i>
      <x v="13"/>
    </i>
    <i r="1">
      <x v="3"/>
    </i>
    <i>
      <x v="14"/>
    </i>
    <i r="1">
      <x v="25"/>
    </i>
    <i>
      <x v="15"/>
    </i>
    <i r="1">
      <x v="11"/>
    </i>
    <i>
      <x v="16"/>
    </i>
    <i r="1">
      <x v="8"/>
    </i>
    <i>
      <x v="17"/>
    </i>
    <i r="1">
      <x v="24"/>
    </i>
    <i>
      <x v="18"/>
    </i>
    <i r="1">
      <x v="12"/>
    </i>
    <i>
      <x v="19"/>
    </i>
    <i r="1">
      <x v="2"/>
    </i>
    <i>
      <x v="20"/>
    </i>
    <i r="1">
      <x v="1"/>
    </i>
    <i>
      <x v="21"/>
    </i>
    <i r="1">
      <x v="29"/>
    </i>
    <i>
      <x v="22"/>
    </i>
    <i r="1">
      <x v="23"/>
    </i>
    <i>
      <x v="23"/>
    </i>
    <i r="1">
      <x/>
    </i>
    <i>
      <x v="24"/>
    </i>
    <i r="1">
      <x v="16"/>
    </i>
    <i>
      <x v="25"/>
    </i>
    <i r="1">
      <x v="10"/>
    </i>
    <i>
      <x v="26"/>
    </i>
    <i r="1">
      <x v="28"/>
    </i>
    <i>
      <x v="27"/>
    </i>
    <i r="1">
      <x v="27"/>
    </i>
    <i>
      <x v="28"/>
    </i>
    <i r="1">
      <x v="30"/>
    </i>
    <i>
      <x v="29"/>
    </i>
    <i r="1">
      <x v="22"/>
    </i>
    <i>
      <x v="30"/>
    </i>
    <i r="1">
      <x v="1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31B819-34DC-41E9-9689-C759C741C71C}" name="Table2" displayName="Table2" ref="A1:U1048576" totalsRowShown="0" headerRowDxfId="30" dataDxfId="28" headerRowBorderDxfId="29" tableBorderDxfId="27" headerRowCellStyle="Normal 2 3">
  <autoFilter ref="A1:U1048576" xr:uid="{4231B819-34DC-41E9-9689-C759C741C71C}"/>
  <tableColumns count="21">
    <tableColumn id="1" xr3:uid="{E3BC9B73-4216-4A82-BA8A-8DB8957E2FCF}" name="Staff Number" dataDxfId="26"/>
    <tableColumn id="2" xr3:uid="{FB48DE1D-F7A8-43AD-8987-273DC5BA1E2D}" name="Principal Name" dataDxfId="25"/>
    <tableColumn id="3" xr3:uid="{07DFBFF1-A287-42E0-BC2F-B2F7FD82900C}" name="Principal Number" dataDxfId="24"/>
    <tableColumn id="4" xr3:uid="{CD934D87-6119-4205-B105-D4B88FA16044}" name="Member Number" dataDxfId="23"/>
    <tableColumn id="5" xr3:uid="{70D55A9A-C5B2-4750-96BB-1A03C37E28E1}" name="Relation" dataDxfId="22"/>
    <tableColumn id="6" xr3:uid="{DDE2073B-A787-44D2-A2C6-9560E220D60C}" name="Member First Name" dataDxfId="21"/>
    <tableColumn id="7" xr3:uid="{7CA94E22-4F63-4E29-93E9-187745DA218A}" name="Member Middle Name" dataDxfId="20"/>
    <tableColumn id="8" xr3:uid="{265FC1E6-0062-49FF-B722-2F04CBE1F93B}" name="Member Last Name" dataDxfId="19"/>
    <tableColumn id="21" xr3:uid="{CEB467B8-FFE4-41C9-B769-F2CFF0AC71EA}" name="Member Full Name" dataDxfId="18"/>
    <tableColumn id="9" xr3:uid="{03009332-9DB2-4ED4-BB51-DD2118184226}" name="Gender" dataDxfId="17"/>
    <tableColumn id="10" xr3:uid="{F1856A7D-A61A-4FFE-8BC5-6452C9C9222A}" name="Age" dataDxfId="16"/>
    <tableColumn id="11" xr3:uid="{58044CD1-1D01-4C0C-B541-6F7BA27E7103}" name="Date Of Birth" dataDxfId="15"/>
    <tableColumn id="12" xr3:uid="{1EB327A1-04DF-4430-8CB0-C4B789FCCF10}" name="Nationality" dataDxfId="14"/>
    <tableColumn id="13" xr3:uid="{08D48D06-6A90-478D-877F-94111F572F72}" name="Marital Status" dataDxfId="13"/>
    <tableColumn id="14" xr3:uid="{06DBBE45-0336-45AF-9DCC-A11D8121FDBB}" name="National Id Type" dataDxfId="12"/>
    <tableColumn id="15" xr3:uid="{05549145-3CDE-48C2-95AD-DA6F11AD263A}" name="National Identity" dataDxfId="11"/>
    <tableColumn id="16" xr3:uid="{8C49C0C8-8809-4C79-912D-39A13DC19577}" name="Place of visa issuance" dataDxfId="10"/>
    <tableColumn id="17" xr3:uid="{AD6C043B-E625-45B7-AF8F-AA5AFA633CB4}" name="Visa Unified Number" dataDxfId="9"/>
    <tableColumn id="18" xr3:uid="{D0FB7732-2064-4D3F-9890-E6F7DB0E04FD}" name="Passport number" dataDxfId="8"/>
    <tableColumn id="19" xr3:uid="{B1F5D27A-EB67-452C-A258-E50D238AF010}" name="Visa File Number" dataDxfId="7"/>
    <tableColumn id="20" xr3:uid="{71715650-14B5-4C62-B85F-3C5542CF210C}" name="Birth Certificate Number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4FE9F-FFBE-4141-A445-D4628E590B9B}" name="Table1" displayName="Table1" ref="A1:F2" insertRow="1" totalsRowShown="0">
  <autoFilter ref="A1:F2" xr:uid="{0C24FE9F-FFBE-4141-A445-D4628E590B9B}"/>
  <tableColumns count="6">
    <tableColumn id="1" xr3:uid="{7170976D-FBC6-4766-94BE-6A7EA5B976FD}" name="ID" dataDxfId="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EBB8D406-ABC6-4F90-AC8C-E9421C52CCF3}" name="Start time" dataDxfId="4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49FEB45B-9161-409D-ACCD-AD455686932C}" name="Completion time" dataDxfId="3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9AE7DB2D-734F-4975-B16E-ED278692EEC6}" name="Email" dataDxfId="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DC93A05-ED8D-4377-B865-3033073C95C8}" name="Name" dataDxfId="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57A9843C-2AF5-49A0-992D-4D9E7D061840}" name="Question" dataDxfId="0">
      <extLst>
        <ext xmlns:xlmsforms="http://schemas.microsoft.com/office/spreadsheetml/2023/msForms" uri="{FCC71383-01E1-4257-9335-427F07BE8D7F}">
          <xlmsforms:question id="r667153e74c484d2daa2d3cde50328f1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1inJjy9iAEqb-zaNAT0myFcCF0gqsdtIuqAdIEe170ZUOFdJSUNZSVM2Nk9NS0RKODJXNjVVNTBCVy4u" isFormConnected="1" maxResponseId="0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r667153e74c484d2daa2d3cde50328f14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CD67-8AA5-4434-A733-1C1DA55A8DCD}">
  <dimension ref="A3:E67"/>
  <sheetViews>
    <sheetView workbookViewId="0">
      <selection activeCell="A3" sqref="A3"/>
    </sheetView>
  </sheetViews>
  <sheetFormatPr defaultRowHeight="14.5" x14ac:dyDescent="0.35"/>
  <cols>
    <col min="1" max="1" width="35" bestFit="1" customWidth="1"/>
    <col min="2" max="2" width="15.6328125" bestFit="1" customWidth="1"/>
    <col min="3" max="3" width="9.81640625" bestFit="1" customWidth="1"/>
    <col min="4" max="4" width="7.6328125" bestFit="1" customWidth="1"/>
    <col min="5" max="5" width="10.36328125" bestFit="1" customWidth="1"/>
  </cols>
  <sheetData>
    <row r="3" spans="1:5" x14ac:dyDescent="0.35">
      <c r="B3" s="23" t="s">
        <v>576</v>
      </c>
    </row>
    <row r="4" spans="1:5" x14ac:dyDescent="0.35">
      <c r="A4" s="23" t="s">
        <v>574</v>
      </c>
      <c r="B4" t="s">
        <v>324</v>
      </c>
      <c r="C4" t="s">
        <v>28</v>
      </c>
      <c r="D4" t="s">
        <v>264</v>
      </c>
      <c r="E4" t="s">
        <v>575</v>
      </c>
    </row>
    <row r="5" spans="1:5" x14ac:dyDescent="0.35">
      <c r="A5" s="24" t="s">
        <v>128</v>
      </c>
    </row>
    <row r="6" spans="1:5" x14ac:dyDescent="0.35">
      <c r="A6" s="25" t="s">
        <v>127</v>
      </c>
    </row>
    <row r="7" spans="1:5" x14ac:dyDescent="0.35">
      <c r="A7" s="24" t="s">
        <v>138</v>
      </c>
    </row>
    <row r="8" spans="1:5" x14ac:dyDescent="0.35">
      <c r="A8" s="25" t="s">
        <v>137</v>
      </c>
    </row>
    <row r="9" spans="1:5" x14ac:dyDescent="0.35">
      <c r="A9" s="24" t="s">
        <v>145</v>
      </c>
    </row>
    <row r="10" spans="1:5" x14ac:dyDescent="0.35">
      <c r="A10" s="25" t="s">
        <v>144</v>
      </c>
    </row>
    <row r="11" spans="1:5" x14ac:dyDescent="0.35">
      <c r="A11" s="24" t="s">
        <v>152</v>
      </c>
    </row>
    <row r="12" spans="1:5" x14ac:dyDescent="0.35">
      <c r="A12" s="25" t="s">
        <v>151</v>
      </c>
    </row>
    <row r="13" spans="1:5" x14ac:dyDescent="0.35">
      <c r="A13" s="24" t="s">
        <v>160</v>
      </c>
    </row>
    <row r="14" spans="1:5" x14ac:dyDescent="0.35">
      <c r="A14" s="25" t="s">
        <v>159</v>
      </c>
    </row>
    <row r="15" spans="1:5" x14ac:dyDescent="0.35">
      <c r="A15" s="24" t="s">
        <v>168</v>
      </c>
    </row>
    <row r="16" spans="1:5" x14ac:dyDescent="0.35">
      <c r="A16" s="25" t="s">
        <v>167</v>
      </c>
    </row>
    <row r="17" spans="1:1" x14ac:dyDescent="0.35">
      <c r="A17" s="24" t="s">
        <v>176</v>
      </c>
    </row>
    <row r="18" spans="1:1" x14ac:dyDescent="0.35">
      <c r="A18" s="25" t="s">
        <v>175</v>
      </c>
    </row>
    <row r="19" spans="1:1" x14ac:dyDescent="0.35">
      <c r="A19" s="24" t="s">
        <v>182</v>
      </c>
    </row>
    <row r="20" spans="1:1" x14ac:dyDescent="0.35">
      <c r="A20" s="25" t="s">
        <v>181</v>
      </c>
    </row>
    <row r="21" spans="1:1" x14ac:dyDescent="0.35">
      <c r="A21" s="24" t="s">
        <v>30</v>
      </c>
    </row>
    <row r="22" spans="1:1" x14ac:dyDescent="0.35">
      <c r="A22" s="25" t="s">
        <v>29</v>
      </c>
    </row>
    <row r="23" spans="1:1" x14ac:dyDescent="0.35">
      <c r="A23" s="24" t="s">
        <v>188</v>
      </c>
    </row>
    <row r="24" spans="1:1" x14ac:dyDescent="0.35">
      <c r="A24" s="25" t="s">
        <v>187</v>
      </c>
    </row>
    <row r="25" spans="1:1" x14ac:dyDescent="0.35">
      <c r="A25" s="24" t="s">
        <v>428</v>
      </c>
    </row>
    <row r="26" spans="1:1" x14ac:dyDescent="0.35">
      <c r="A26" s="25" t="s">
        <v>106</v>
      </c>
    </row>
    <row r="27" spans="1:1" x14ac:dyDescent="0.35">
      <c r="A27" s="24" t="s">
        <v>194</v>
      </c>
    </row>
    <row r="28" spans="1:1" x14ac:dyDescent="0.35">
      <c r="A28" s="25" t="s">
        <v>193</v>
      </c>
    </row>
    <row r="29" spans="1:1" x14ac:dyDescent="0.35">
      <c r="A29" s="24" t="s">
        <v>202</v>
      </c>
    </row>
    <row r="30" spans="1:1" x14ac:dyDescent="0.35">
      <c r="A30" s="25" t="s">
        <v>201</v>
      </c>
    </row>
    <row r="31" spans="1:1" x14ac:dyDescent="0.35">
      <c r="A31" s="24" t="s">
        <v>208</v>
      </c>
    </row>
    <row r="32" spans="1:1" x14ac:dyDescent="0.35">
      <c r="A32" s="25" t="s">
        <v>207</v>
      </c>
    </row>
    <row r="33" spans="1:1" x14ac:dyDescent="0.35">
      <c r="A33" s="24" t="s">
        <v>121</v>
      </c>
    </row>
    <row r="34" spans="1:1" x14ac:dyDescent="0.35">
      <c r="A34" s="25" t="s">
        <v>120</v>
      </c>
    </row>
    <row r="35" spans="1:1" x14ac:dyDescent="0.35">
      <c r="A35" s="24" t="s">
        <v>258</v>
      </c>
    </row>
    <row r="36" spans="1:1" x14ac:dyDescent="0.35">
      <c r="A36" s="25" t="s">
        <v>257</v>
      </c>
    </row>
    <row r="37" spans="1:1" x14ac:dyDescent="0.35">
      <c r="A37" s="24" t="s">
        <v>214</v>
      </c>
    </row>
    <row r="38" spans="1:1" x14ac:dyDescent="0.35">
      <c r="A38" s="25" t="s">
        <v>213</v>
      </c>
    </row>
    <row r="39" spans="1:1" x14ac:dyDescent="0.35">
      <c r="A39" s="24" t="s">
        <v>220</v>
      </c>
    </row>
    <row r="40" spans="1:1" x14ac:dyDescent="0.35">
      <c r="A40" s="25" t="s">
        <v>219</v>
      </c>
    </row>
    <row r="41" spans="1:1" x14ac:dyDescent="0.35">
      <c r="A41" s="24" t="s">
        <v>228</v>
      </c>
    </row>
    <row r="42" spans="1:1" x14ac:dyDescent="0.35">
      <c r="A42" s="25" t="s">
        <v>227</v>
      </c>
    </row>
    <row r="43" spans="1:1" x14ac:dyDescent="0.35">
      <c r="A43" s="24" t="s">
        <v>456</v>
      </c>
    </row>
    <row r="44" spans="1:1" x14ac:dyDescent="0.35">
      <c r="A44" s="25" t="s">
        <v>389</v>
      </c>
    </row>
    <row r="45" spans="1:1" x14ac:dyDescent="0.35">
      <c r="A45" s="24" t="s">
        <v>458</v>
      </c>
    </row>
    <row r="46" spans="1:1" x14ac:dyDescent="0.35">
      <c r="A46" s="25" t="s">
        <v>99</v>
      </c>
    </row>
    <row r="47" spans="1:1" x14ac:dyDescent="0.35">
      <c r="A47" s="24" t="s">
        <v>238</v>
      </c>
    </row>
    <row r="48" spans="1:1" x14ac:dyDescent="0.35">
      <c r="A48" s="25" t="s">
        <v>237</v>
      </c>
    </row>
    <row r="49" spans="1:1" x14ac:dyDescent="0.35">
      <c r="A49" s="24" t="s">
        <v>113</v>
      </c>
    </row>
    <row r="50" spans="1:1" x14ac:dyDescent="0.35">
      <c r="A50" s="25" t="s">
        <v>112</v>
      </c>
    </row>
    <row r="51" spans="1:1" x14ac:dyDescent="0.35">
      <c r="A51" s="24" t="s">
        <v>53</v>
      </c>
    </row>
    <row r="52" spans="1:1" x14ac:dyDescent="0.35">
      <c r="A52" s="25" t="s">
        <v>52</v>
      </c>
    </row>
    <row r="53" spans="1:1" x14ac:dyDescent="0.35">
      <c r="A53" s="24" t="s">
        <v>43</v>
      </c>
    </row>
    <row r="54" spans="1:1" x14ac:dyDescent="0.35">
      <c r="A54" s="25" t="s">
        <v>42</v>
      </c>
    </row>
    <row r="55" spans="1:1" x14ac:dyDescent="0.35">
      <c r="A55" s="24" t="s">
        <v>91</v>
      </c>
    </row>
    <row r="56" spans="1:1" x14ac:dyDescent="0.35">
      <c r="A56" s="25" t="s">
        <v>90</v>
      </c>
    </row>
    <row r="57" spans="1:1" x14ac:dyDescent="0.35">
      <c r="A57" s="24" t="s">
        <v>63</v>
      </c>
    </row>
    <row r="58" spans="1:1" x14ac:dyDescent="0.35">
      <c r="A58" s="25" t="s">
        <v>62</v>
      </c>
    </row>
    <row r="59" spans="1:1" x14ac:dyDescent="0.35">
      <c r="A59" s="24" t="s">
        <v>73</v>
      </c>
    </row>
    <row r="60" spans="1:1" x14ac:dyDescent="0.35">
      <c r="A60" s="25" t="s">
        <v>72</v>
      </c>
    </row>
    <row r="61" spans="1:1" x14ac:dyDescent="0.35">
      <c r="A61" s="24" t="s">
        <v>82</v>
      </c>
    </row>
    <row r="62" spans="1:1" x14ac:dyDescent="0.35">
      <c r="A62" s="25" t="s">
        <v>81</v>
      </c>
    </row>
    <row r="63" spans="1:1" x14ac:dyDescent="0.35">
      <c r="A63" s="24" t="s">
        <v>244</v>
      </c>
    </row>
    <row r="64" spans="1:1" x14ac:dyDescent="0.35">
      <c r="A64" s="25" t="s">
        <v>243</v>
      </c>
    </row>
    <row r="65" spans="1:1" x14ac:dyDescent="0.35">
      <c r="A65" s="24" t="s">
        <v>250</v>
      </c>
    </row>
    <row r="66" spans="1:1" x14ac:dyDescent="0.35">
      <c r="A66" s="25" t="s">
        <v>249</v>
      </c>
    </row>
    <row r="67" spans="1:1" x14ac:dyDescent="0.35">
      <c r="A67" s="24" t="s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CFA4-BAEF-4C25-8F29-E459578F912F}">
  <dimension ref="A1:X64"/>
  <sheetViews>
    <sheetView tabSelected="1" topLeftCell="F1" workbookViewId="0">
      <selection activeCell="B2" sqref="B2:B63"/>
    </sheetView>
  </sheetViews>
  <sheetFormatPr defaultColWidth="12.7265625" defaultRowHeight="13" x14ac:dyDescent="0.3"/>
  <cols>
    <col min="1" max="1" width="15.7265625" style="17" bestFit="1" customWidth="1"/>
    <col min="2" max="2" width="30.7265625" style="17" bestFit="1" customWidth="1"/>
    <col min="3" max="3" width="17.7265625" style="18" customWidth="1"/>
    <col min="4" max="4" width="17.08984375" style="18" customWidth="1"/>
    <col min="5" max="5" width="11.90625" style="18" bestFit="1" customWidth="1"/>
    <col min="6" max="6" width="19.453125" style="19" customWidth="1"/>
    <col min="7" max="7" width="22.7265625" style="19" bestFit="1" customWidth="1"/>
    <col min="8" max="8" width="19.08984375" style="19" customWidth="1"/>
    <col min="9" max="9" width="35.453125" style="19" bestFit="1" customWidth="1"/>
    <col min="10" max="10" width="11.08984375" style="18" bestFit="1" customWidth="1"/>
    <col min="11" max="11" width="8.1796875" style="18" bestFit="1" customWidth="1"/>
    <col min="12" max="12" width="15.453125" style="18" bestFit="1" customWidth="1"/>
    <col min="13" max="13" width="14.08984375" style="18" bestFit="1" customWidth="1"/>
    <col min="14" max="14" width="16.36328125" style="18" bestFit="1" customWidth="1"/>
    <col min="15" max="15" width="16.36328125" style="18" customWidth="1"/>
    <col min="16" max="16" width="16.90625" style="18" customWidth="1"/>
    <col min="17" max="17" width="21.453125" style="18" customWidth="1"/>
    <col min="18" max="18" width="20.36328125" style="18" customWidth="1"/>
    <col min="19" max="19" width="17.453125" style="20" customWidth="1"/>
    <col min="20" max="20" width="17.26953125" style="18" customWidth="1"/>
    <col min="21" max="21" width="23.6328125" style="18" customWidth="1"/>
    <col min="22" max="22" width="18.81640625" style="10" hidden="1" customWidth="1"/>
    <col min="23" max="23" width="13.1796875" style="10" hidden="1" customWidth="1"/>
    <col min="24" max="16384" width="12.7265625" style="10"/>
  </cols>
  <sheetData>
    <row r="1" spans="1:24" s="9" customFormat="1" ht="41" customHeight="1" x14ac:dyDescent="0.3">
      <c r="A1" s="14" t="s">
        <v>9</v>
      </c>
      <c r="B1" s="14" t="s">
        <v>8</v>
      </c>
      <c r="C1" s="14" t="s">
        <v>7</v>
      </c>
      <c r="D1" s="14" t="s">
        <v>0</v>
      </c>
      <c r="E1" s="14" t="s">
        <v>6</v>
      </c>
      <c r="F1" s="14" t="s">
        <v>1</v>
      </c>
      <c r="G1" s="14" t="s">
        <v>2</v>
      </c>
      <c r="H1" s="14" t="s">
        <v>3</v>
      </c>
      <c r="I1" s="14" t="s">
        <v>616</v>
      </c>
      <c r="J1" s="14" t="s">
        <v>4</v>
      </c>
      <c r="K1" s="14" t="s">
        <v>5</v>
      </c>
      <c r="L1" s="14" t="s">
        <v>11</v>
      </c>
      <c r="M1" s="14" t="s">
        <v>12</v>
      </c>
      <c r="N1" s="14" t="s">
        <v>13</v>
      </c>
      <c r="O1" s="15" t="s">
        <v>14</v>
      </c>
      <c r="P1" s="16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6" t="s">
        <v>21</v>
      </c>
      <c r="W1" s="7" t="s">
        <v>22</v>
      </c>
    </row>
    <row r="2" spans="1:24" ht="15" customHeight="1" x14ac:dyDescent="0.3">
      <c r="A2" s="11" t="s">
        <v>128</v>
      </c>
      <c r="B2" s="11" t="s">
        <v>127</v>
      </c>
      <c r="C2" s="4">
        <v>41766065</v>
      </c>
      <c r="D2" s="4">
        <v>41766065</v>
      </c>
      <c r="E2" s="4" t="s">
        <v>28</v>
      </c>
      <c r="F2" s="12" t="s">
        <v>124</v>
      </c>
      <c r="G2" s="12" t="s">
        <v>125</v>
      </c>
      <c r="H2" s="12" t="s">
        <v>126</v>
      </c>
      <c r="I2" s="12" t="s">
        <v>127</v>
      </c>
      <c r="J2" s="4" t="s">
        <v>27</v>
      </c>
      <c r="K2" s="4">
        <v>45</v>
      </c>
      <c r="L2" s="4" t="s">
        <v>129</v>
      </c>
      <c r="M2" s="4" t="s">
        <v>65</v>
      </c>
      <c r="N2" s="4" t="s">
        <v>55</v>
      </c>
      <c r="O2" s="4" t="s">
        <v>34</v>
      </c>
      <c r="P2" s="4" t="s">
        <v>130</v>
      </c>
      <c r="Q2" s="4" t="s">
        <v>131</v>
      </c>
      <c r="R2" s="4" t="s">
        <v>132</v>
      </c>
      <c r="S2" s="4" t="s">
        <v>133</v>
      </c>
      <c r="T2" s="4" t="s">
        <v>132</v>
      </c>
      <c r="U2" s="4" t="s">
        <v>26</v>
      </c>
      <c r="V2" s="4" t="s">
        <v>26</v>
      </c>
      <c r="W2" s="4"/>
      <c r="X2" s="10" t="str">
        <f>CONCATENATE(Table2[[#This Row],[Member First Name]]," ",Table2[[#This Row],[Member Middle Name]]," ",Table2[[#This Row],[Member Last Name]])</f>
        <v>SYED IRFAN ZAKIUDDIN</v>
      </c>
    </row>
    <row r="3" spans="1:24" ht="15" customHeight="1" x14ac:dyDescent="0.3">
      <c r="A3" s="27" t="s">
        <v>128</v>
      </c>
      <c r="B3" s="11" t="s">
        <v>127</v>
      </c>
      <c r="C3" s="4">
        <v>41766065</v>
      </c>
      <c r="D3" s="4">
        <v>41766088</v>
      </c>
      <c r="E3" s="4" t="s">
        <v>264</v>
      </c>
      <c r="F3" s="12" t="s">
        <v>315</v>
      </c>
      <c r="G3" s="12" t="s">
        <v>26</v>
      </c>
      <c r="H3" s="12" t="s">
        <v>316</v>
      </c>
      <c r="I3" s="12" t="s">
        <v>611</v>
      </c>
      <c r="J3" s="4" t="s">
        <v>41</v>
      </c>
      <c r="K3" s="4">
        <v>46</v>
      </c>
      <c r="L3" s="4" t="s">
        <v>317</v>
      </c>
      <c r="M3" s="4" t="s">
        <v>65</v>
      </c>
      <c r="N3" s="4" t="s">
        <v>55</v>
      </c>
      <c r="O3" s="4" t="s">
        <v>34</v>
      </c>
      <c r="P3" s="4" t="s">
        <v>318</v>
      </c>
      <c r="Q3" s="4" t="s">
        <v>131</v>
      </c>
      <c r="R3" s="4" t="s">
        <v>319</v>
      </c>
      <c r="S3" s="4" t="s">
        <v>320</v>
      </c>
      <c r="T3" s="4" t="s">
        <v>319</v>
      </c>
      <c r="U3" s="4" t="s">
        <v>26</v>
      </c>
      <c r="V3" s="4" t="s">
        <v>26</v>
      </c>
      <c r="W3" s="4"/>
      <c r="X3" s="10" t="str">
        <f>CONCATENATE(Table2[[#This Row],[Member First Name]]," ",Table2[[#This Row],[Member Middle Name]]," ",Table2[[#This Row],[Member Last Name]])</f>
        <v>AMINA  FARHEEN</v>
      </c>
    </row>
    <row r="4" spans="1:24" ht="15" customHeight="1" x14ac:dyDescent="0.3">
      <c r="A4" s="27" t="s">
        <v>128</v>
      </c>
      <c r="B4" s="11" t="s">
        <v>127</v>
      </c>
      <c r="C4" s="4">
        <v>41766065</v>
      </c>
      <c r="D4" s="4">
        <v>41766103</v>
      </c>
      <c r="E4" s="4" t="s">
        <v>324</v>
      </c>
      <c r="F4" s="12" t="s">
        <v>360</v>
      </c>
      <c r="G4" s="12" t="s">
        <v>125</v>
      </c>
      <c r="H4" s="12" t="s">
        <v>166</v>
      </c>
      <c r="I4" s="12" t="s">
        <v>612</v>
      </c>
      <c r="J4" s="4" t="s">
        <v>41</v>
      </c>
      <c r="K4" s="4">
        <v>9</v>
      </c>
      <c r="L4" s="4" t="s">
        <v>361</v>
      </c>
      <c r="M4" s="4" t="s">
        <v>65</v>
      </c>
      <c r="N4" s="4" t="s">
        <v>33</v>
      </c>
      <c r="O4" s="4" t="s">
        <v>34</v>
      </c>
      <c r="P4" s="4" t="s">
        <v>362</v>
      </c>
      <c r="Q4" s="4" t="s">
        <v>131</v>
      </c>
      <c r="R4" s="4" t="s">
        <v>363</v>
      </c>
      <c r="S4" s="4" t="s">
        <v>364</v>
      </c>
      <c r="T4" s="4" t="s">
        <v>363</v>
      </c>
      <c r="U4" s="4" t="s">
        <v>26</v>
      </c>
      <c r="V4" s="4" t="s">
        <v>26</v>
      </c>
      <c r="W4" s="4"/>
      <c r="X4" s="10" t="str">
        <f>CONCATENATE(Table2[[#This Row],[Member First Name]]," ",Table2[[#This Row],[Member Middle Name]]," ",Table2[[#This Row],[Member Last Name]])</f>
        <v>SARAH IRFAN ALI</v>
      </c>
    </row>
    <row r="5" spans="1:24" ht="15" customHeight="1" x14ac:dyDescent="0.3">
      <c r="A5" s="27" t="s">
        <v>128</v>
      </c>
      <c r="B5" s="11" t="s">
        <v>127</v>
      </c>
      <c r="C5" s="4">
        <v>41766065</v>
      </c>
      <c r="D5" s="4">
        <v>41766104</v>
      </c>
      <c r="E5" s="4" t="s">
        <v>324</v>
      </c>
      <c r="F5" s="12" t="s">
        <v>366</v>
      </c>
      <c r="G5" s="12" t="s">
        <v>125</v>
      </c>
      <c r="H5" s="12" t="s">
        <v>166</v>
      </c>
      <c r="I5" s="12" t="s">
        <v>613</v>
      </c>
      <c r="J5" s="4" t="s">
        <v>41</v>
      </c>
      <c r="K5" s="4">
        <v>11</v>
      </c>
      <c r="L5" s="4" t="s">
        <v>367</v>
      </c>
      <c r="M5" s="4" t="s">
        <v>65</v>
      </c>
      <c r="N5" s="4" t="s">
        <v>33</v>
      </c>
      <c r="O5" s="4" t="s">
        <v>34</v>
      </c>
      <c r="P5" s="4" t="s">
        <v>368</v>
      </c>
      <c r="Q5" s="4" t="s">
        <v>131</v>
      </c>
      <c r="R5" s="4" t="s">
        <v>369</v>
      </c>
      <c r="S5" s="4" t="s">
        <v>370</v>
      </c>
      <c r="T5" s="4" t="s">
        <v>369</v>
      </c>
      <c r="U5" s="4" t="s">
        <v>26</v>
      </c>
      <c r="V5" s="4" t="s">
        <v>26</v>
      </c>
      <c r="W5" s="4"/>
      <c r="X5" s="10" t="str">
        <f>CONCATENATE(Table2[[#This Row],[Member First Name]]," ",Table2[[#This Row],[Member Middle Name]]," ",Table2[[#This Row],[Member Last Name]])</f>
        <v>NAILAH IRFAN ALI</v>
      </c>
    </row>
    <row r="6" spans="1:24" ht="15" customHeight="1" x14ac:dyDescent="0.3">
      <c r="A6" s="27" t="s">
        <v>138</v>
      </c>
      <c r="B6" s="11" t="s">
        <v>137</v>
      </c>
      <c r="C6" s="4">
        <v>41766066</v>
      </c>
      <c r="D6" s="4">
        <v>41766066</v>
      </c>
      <c r="E6" s="4" t="s">
        <v>28</v>
      </c>
      <c r="F6" s="12" t="s">
        <v>135</v>
      </c>
      <c r="G6" s="12" t="s">
        <v>26</v>
      </c>
      <c r="H6" s="12" t="s">
        <v>136</v>
      </c>
      <c r="I6" s="12" t="s">
        <v>603</v>
      </c>
      <c r="J6" s="4" t="s">
        <v>27</v>
      </c>
      <c r="K6" s="4">
        <v>45</v>
      </c>
      <c r="L6" s="4" t="s">
        <v>139</v>
      </c>
      <c r="M6" s="4" t="s">
        <v>140</v>
      </c>
      <c r="N6" s="4" t="s">
        <v>55</v>
      </c>
      <c r="O6" s="4" t="s">
        <v>34</v>
      </c>
      <c r="P6" s="4" t="s">
        <v>141</v>
      </c>
      <c r="Q6" s="4" t="s">
        <v>36</v>
      </c>
      <c r="R6" s="8" t="s">
        <v>26</v>
      </c>
      <c r="S6" s="8" t="s">
        <v>26</v>
      </c>
      <c r="T6" s="4" t="s">
        <v>26</v>
      </c>
      <c r="U6" s="4" t="s">
        <v>26</v>
      </c>
      <c r="V6" s="4" t="s">
        <v>26</v>
      </c>
      <c r="W6" s="4"/>
      <c r="X6" s="10" t="str">
        <f>CONCATENATE(Table2[[#This Row],[Member First Name]]," ",Table2[[#This Row],[Member Middle Name]]," ",Table2[[#This Row],[Member Last Name]])</f>
        <v>MICHAEL  RUTMAN</v>
      </c>
    </row>
    <row r="7" spans="1:24" ht="15" customHeight="1" x14ac:dyDescent="0.3">
      <c r="A7" s="27" t="s">
        <v>145</v>
      </c>
      <c r="B7" s="11" t="s">
        <v>144</v>
      </c>
      <c r="C7" s="4">
        <v>41766067</v>
      </c>
      <c r="D7" s="4">
        <v>41766067</v>
      </c>
      <c r="E7" s="4" t="s">
        <v>28</v>
      </c>
      <c r="F7" s="12" t="s">
        <v>142</v>
      </c>
      <c r="G7" s="12" t="s">
        <v>26</v>
      </c>
      <c r="H7" s="12" t="s">
        <v>143</v>
      </c>
      <c r="I7" s="12" t="s">
        <v>595</v>
      </c>
      <c r="J7" s="4" t="s">
        <v>41</v>
      </c>
      <c r="K7" s="4">
        <v>46</v>
      </c>
      <c r="L7" s="4" t="s">
        <v>146</v>
      </c>
      <c r="M7" s="4" t="s">
        <v>45</v>
      </c>
      <c r="N7" s="4" t="s">
        <v>55</v>
      </c>
      <c r="O7" s="4" t="s">
        <v>34</v>
      </c>
      <c r="P7" s="4" t="s">
        <v>147</v>
      </c>
      <c r="Q7" s="4" t="s">
        <v>36</v>
      </c>
      <c r="R7" s="8" t="s">
        <v>26</v>
      </c>
      <c r="S7" s="8" t="s">
        <v>26</v>
      </c>
      <c r="T7" s="4" t="s">
        <v>26</v>
      </c>
      <c r="U7" s="4" t="s">
        <v>26</v>
      </c>
      <c r="V7" s="4" t="s">
        <v>26</v>
      </c>
      <c r="W7" s="4"/>
      <c r="X7" s="10" t="str">
        <f>CONCATENATE(Table2[[#This Row],[Member First Name]]," ",Table2[[#This Row],[Member Middle Name]]," ",Table2[[#This Row],[Member Last Name]])</f>
        <v>IMELDA  MARCELO</v>
      </c>
    </row>
    <row r="8" spans="1:24" ht="15" customHeight="1" x14ac:dyDescent="0.3">
      <c r="A8" s="27" t="s">
        <v>145</v>
      </c>
      <c r="B8" s="11" t="s">
        <v>144</v>
      </c>
      <c r="C8" s="4">
        <v>41766067</v>
      </c>
      <c r="D8" s="4">
        <v>41766089</v>
      </c>
      <c r="E8" s="4" t="s">
        <v>324</v>
      </c>
      <c r="F8" s="12" t="s">
        <v>331</v>
      </c>
      <c r="G8" s="12" t="s">
        <v>332</v>
      </c>
      <c r="H8" s="12" t="s">
        <v>143</v>
      </c>
      <c r="I8" s="12" t="s">
        <v>596</v>
      </c>
      <c r="J8" s="4" t="s">
        <v>41</v>
      </c>
      <c r="K8" s="4">
        <v>15</v>
      </c>
      <c r="L8" s="4" t="s">
        <v>333</v>
      </c>
      <c r="M8" s="4" t="s">
        <v>45</v>
      </c>
      <c r="N8" s="4" t="s">
        <v>33</v>
      </c>
      <c r="O8" s="4" t="s">
        <v>34</v>
      </c>
      <c r="P8" s="4" t="s">
        <v>334</v>
      </c>
      <c r="Q8" s="4" t="s">
        <v>36</v>
      </c>
      <c r="R8" s="8" t="s">
        <v>26</v>
      </c>
      <c r="S8" s="8" t="s">
        <v>26</v>
      </c>
      <c r="T8" s="4" t="s">
        <v>26</v>
      </c>
      <c r="U8" s="4" t="s">
        <v>26</v>
      </c>
      <c r="V8" s="4" t="s">
        <v>26</v>
      </c>
      <c r="W8" s="4"/>
      <c r="X8" s="10" t="str">
        <f>CONCATENATE(Table2[[#This Row],[Member First Name]]," ",Table2[[#This Row],[Member Middle Name]]," ",Table2[[#This Row],[Member Last Name]])</f>
        <v>MARY JONIELLE MARCELO</v>
      </c>
    </row>
    <row r="9" spans="1:24" ht="15" customHeight="1" x14ac:dyDescent="0.3">
      <c r="A9" s="11" t="s">
        <v>145</v>
      </c>
      <c r="B9" s="11" t="s">
        <v>144</v>
      </c>
      <c r="C9" s="4">
        <v>41766067</v>
      </c>
      <c r="D9" s="4">
        <v>41766090</v>
      </c>
      <c r="E9" s="4" t="s">
        <v>324</v>
      </c>
      <c r="F9" s="12" t="s">
        <v>335</v>
      </c>
      <c r="G9" s="12" t="s">
        <v>336</v>
      </c>
      <c r="H9" s="12" t="s">
        <v>143</v>
      </c>
      <c r="I9" s="12" t="s">
        <v>597</v>
      </c>
      <c r="J9" s="4" t="s">
        <v>27</v>
      </c>
      <c r="K9" s="4">
        <v>11</v>
      </c>
      <c r="L9" s="4" t="s">
        <v>337</v>
      </c>
      <c r="M9" s="4" t="s">
        <v>45</v>
      </c>
      <c r="N9" s="4" t="s">
        <v>33</v>
      </c>
      <c r="O9" s="4" t="s">
        <v>34</v>
      </c>
      <c r="P9" s="4" t="s">
        <v>338</v>
      </c>
      <c r="Q9" s="4" t="s">
        <v>36</v>
      </c>
      <c r="R9" s="8" t="s">
        <v>26</v>
      </c>
      <c r="S9" s="8" t="s">
        <v>26</v>
      </c>
      <c r="T9" s="4" t="s">
        <v>26</v>
      </c>
      <c r="U9" s="4" t="s">
        <v>26</v>
      </c>
      <c r="V9" s="4" t="s">
        <v>26</v>
      </c>
      <c r="W9" s="4"/>
      <c r="X9" s="10" t="str">
        <f>CONCATENATE(Table2[[#This Row],[Member First Name]]," ",Table2[[#This Row],[Member Middle Name]]," ",Table2[[#This Row],[Member Last Name]])</f>
        <v>JOHN RONMEL MARCELO</v>
      </c>
    </row>
    <row r="10" spans="1:24" ht="15" customHeight="1" x14ac:dyDescent="0.3">
      <c r="A10" s="11" t="s">
        <v>152</v>
      </c>
      <c r="B10" s="11" t="s">
        <v>151</v>
      </c>
      <c r="C10" s="4">
        <v>41766068</v>
      </c>
      <c r="D10" s="4">
        <v>41766068</v>
      </c>
      <c r="E10" s="4" t="s">
        <v>28</v>
      </c>
      <c r="F10" s="12" t="s">
        <v>148</v>
      </c>
      <c r="G10" s="12" t="s">
        <v>149</v>
      </c>
      <c r="H10" s="12" t="s">
        <v>150</v>
      </c>
      <c r="I10" s="12" t="s">
        <v>151</v>
      </c>
      <c r="J10" s="4" t="s">
        <v>27</v>
      </c>
      <c r="K10" s="4">
        <v>42</v>
      </c>
      <c r="L10" s="4" t="s">
        <v>153</v>
      </c>
      <c r="M10" s="4" t="s">
        <v>154</v>
      </c>
      <c r="N10" s="4" t="s">
        <v>55</v>
      </c>
      <c r="O10" s="4" t="s">
        <v>34</v>
      </c>
      <c r="P10" s="4" t="s">
        <v>155</v>
      </c>
      <c r="Q10" s="4" t="s">
        <v>36</v>
      </c>
      <c r="R10" s="8" t="s">
        <v>26</v>
      </c>
      <c r="S10" s="8" t="s">
        <v>26</v>
      </c>
      <c r="T10" s="4" t="s">
        <v>26</v>
      </c>
      <c r="U10" s="4" t="s">
        <v>26</v>
      </c>
      <c r="V10" s="4" t="s">
        <v>26</v>
      </c>
      <c r="W10" s="4"/>
      <c r="X10" s="10" t="str">
        <f>CONCATENATE(Table2[[#This Row],[Member First Name]]," ",Table2[[#This Row],[Member Middle Name]]," ",Table2[[#This Row],[Member Last Name]])</f>
        <v>AMRO ALY ASMAEL</v>
      </c>
    </row>
    <row r="11" spans="1:24" ht="15" customHeight="1" x14ac:dyDescent="0.3">
      <c r="A11" s="27" t="s">
        <v>160</v>
      </c>
      <c r="B11" s="11" t="s">
        <v>159</v>
      </c>
      <c r="C11" s="4">
        <v>41766069</v>
      </c>
      <c r="D11" s="4">
        <v>41766069</v>
      </c>
      <c r="E11" s="4" t="s">
        <v>28</v>
      </c>
      <c r="F11" s="12" t="s">
        <v>156</v>
      </c>
      <c r="G11" s="12" t="s">
        <v>157</v>
      </c>
      <c r="H11" s="12" t="s">
        <v>158</v>
      </c>
      <c r="I11" s="12" t="s">
        <v>159</v>
      </c>
      <c r="J11" s="4" t="s">
        <v>27</v>
      </c>
      <c r="K11" s="4">
        <v>36</v>
      </c>
      <c r="L11" s="4" t="s">
        <v>161</v>
      </c>
      <c r="M11" s="4" t="s">
        <v>162</v>
      </c>
      <c r="N11" s="4" t="s">
        <v>55</v>
      </c>
      <c r="O11" s="4" t="s">
        <v>34</v>
      </c>
      <c r="P11" s="4" t="s">
        <v>163</v>
      </c>
      <c r="Q11" s="4" t="s">
        <v>36</v>
      </c>
      <c r="R11" s="8" t="s">
        <v>26</v>
      </c>
      <c r="S11" s="8" t="s">
        <v>26</v>
      </c>
      <c r="T11" s="4" t="s">
        <v>26</v>
      </c>
      <c r="U11" s="4" t="s">
        <v>26</v>
      </c>
      <c r="V11" s="4" t="s">
        <v>26</v>
      </c>
      <c r="W11" s="4"/>
      <c r="X11" s="10" t="str">
        <f>CONCATENATE(Table2[[#This Row],[Member First Name]]," ",Table2[[#This Row],[Member Middle Name]]," ",Table2[[#This Row],[Member Last Name]])</f>
        <v>MOHAMMAD ISMAEL SUDALLY</v>
      </c>
    </row>
    <row r="12" spans="1:24" ht="15" customHeight="1" x14ac:dyDescent="0.3">
      <c r="A12" s="27" t="s">
        <v>168</v>
      </c>
      <c r="B12" s="11" t="s">
        <v>167</v>
      </c>
      <c r="C12" s="4">
        <v>41766070</v>
      </c>
      <c r="D12" s="4">
        <v>41766070</v>
      </c>
      <c r="E12" s="4" t="s">
        <v>28</v>
      </c>
      <c r="F12" s="12" t="s">
        <v>164</v>
      </c>
      <c r="G12" s="12" t="s">
        <v>165</v>
      </c>
      <c r="H12" s="12" t="s">
        <v>166</v>
      </c>
      <c r="I12" s="12" t="s">
        <v>167</v>
      </c>
      <c r="J12" s="4" t="s">
        <v>27</v>
      </c>
      <c r="K12" s="4">
        <v>38</v>
      </c>
      <c r="L12" s="4" t="s">
        <v>169</v>
      </c>
      <c r="M12" s="4" t="s">
        <v>65</v>
      </c>
      <c r="N12" s="4" t="s">
        <v>55</v>
      </c>
      <c r="O12" s="4" t="s">
        <v>34</v>
      </c>
      <c r="P12" s="4" t="s">
        <v>170</v>
      </c>
      <c r="Q12" s="4" t="s">
        <v>36</v>
      </c>
      <c r="R12" s="8" t="s">
        <v>26</v>
      </c>
      <c r="S12" s="8" t="s">
        <v>26</v>
      </c>
      <c r="T12" s="4" t="s">
        <v>26</v>
      </c>
      <c r="U12" s="4" t="s">
        <v>26</v>
      </c>
      <c r="V12" s="4" t="s">
        <v>26</v>
      </c>
      <c r="W12" s="4"/>
      <c r="X12" s="10" t="str">
        <f>CONCATENATE(Table2[[#This Row],[Member First Name]]," ",Table2[[#This Row],[Member Middle Name]]," ",Table2[[#This Row],[Member Last Name]])</f>
        <v>MOHAMED MATHAR ALI</v>
      </c>
    </row>
    <row r="13" spans="1:24" ht="15" customHeight="1" x14ac:dyDescent="0.3">
      <c r="A13" s="27" t="s">
        <v>176</v>
      </c>
      <c r="B13" s="11" t="s">
        <v>175</v>
      </c>
      <c r="C13" s="4">
        <v>41766072</v>
      </c>
      <c r="D13" s="4">
        <v>41766072</v>
      </c>
      <c r="E13" s="4" t="s">
        <v>28</v>
      </c>
      <c r="F13" s="12" t="s">
        <v>172</v>
      </c>
      <c r="G13" s="12" t="s">
        <v>173</v>
      </c>
      <c r="H13" s="12" t="s">
        <v>174</v>
      </c>
      <c r="I13" s="12" t="s">
        <v>175</v>
      </c>
      <c r="J13" s="4" t="s">
        <v>27</v>
      </c>
      <c r="K13" s="4">
        <v>27</v>
      </c>
      <c r="L13" s="4" t="s">
        <v>177</v>
      </c>
      <c r="M13" s="4" t="s">
        <v>65</v>
      </c>
      <c r="N13" s="4" t="s">
        <v>33</v>
      </c>
      <c r="O13" s="4" t="s">
        <v>34</v>
      </c>
      <c r="P13" s="4" t="s">
        <v>178</v>
      </c>
      <c r="Q13" s="4" t="s">
        <v>36</v>
      </c>
      <c r="R13" s="8" t="s">
        <v>26</v>
      </c>
      <c r="S13" s="8" t="s">
        <v>26</v>
      </c>
      <c r="T13" s="4" t="s">
        <v>26</v>
      </c>
      <c r="U13" s="4" t="s">
        <v>26</v>
      </c>
      <c r="V13" s="4" t="s">
        <v>26</v>
      </c>
      <c r="W13" s="4"/>
      <c r="X13" s="10" t="str">
        <f>CONCATENATE(Table2[[#This Row],[Member First Name]]," ",Table2[[#This Row],[Member Middle Name]]," ",Table2[[#This Row],[Member Last Name]])</f>
        <v>EMAL RAPHEL BENNY</v>
      </c>
    </row>
    <row r="14" spans="1:24" ht="15" customHeight="1" x14ac:dyDescent="0.3">
      <c r="A14" s="11" t="s">
        <v>182</v>
      </c>
      <c r="B14" s="11" t="s">
        <v>181</v>
      </c>
      <c r="C14" s="4">
        <v>41766073</v>
      </c>
      <c r="D14" s="4">
        <v>41766073</v>
      </c>
      <c r="E14" s="4" t="s">
        <v>28</v>
      </c>
      <c r="F14" s="12" t="s">
        <v>179</v>
      </c>
      <c r="G14" s="12" t="s">
        <v>180</v>
      </c>
      <c r="H14" s="12" t="s">
        <v>164</v>
      </c>
      <c r="I14" s="12" t="s">
        <v>181</v>
      </c>
      <c r="J14" s="4" t="s">
        <v>27</v>
      </c>
      <c r="K14" s="4">
        <v>45</v>
      </c>
      <c r="L14" s="4" t="s">
        <v>183</v>
      </c>
      <c r="M14" s="4" t="s">
        <v>32</v>
      </c>
      <c r="N14" s="4" t="s">
        <v>55</v>
      </c>
      <c r="O14" s="4" t="s">
        <v>34</v>
      </c>
      <c r="P14" s="4" t="s">
        <v>184</v>
      </c>
      <c r="Q14" s="4" t="s">
        <v>36</v>
      </c>
      <c r="R14" s="8" t="s">
        <v>26</v>
      </c>
      <c r="S14" s="8" t="s">
        <v>26</v>
      </c>
      <c r="T14" s="4" t="s">
        <v>26</v>
      </c>
      <c r="U14" s="4" t="s">
        <v>26</v>
      </c>
      <c r="V14" s="4" t="s">
        <v>26</v>
      </c>
      <c r="W14" s="4"/>
      <c r="X14" s="10" t="str">
        <f>CONCATENATE(Table2[[#This Row],[Member First Name]]," ",Table2[[#This Row],[Member Middle Name]]," ",Table2[[#This Row],[Member Last Name]])</f>
        <v>MAHMOUD SAEED MOHAMED</v>
      </c>
    </row>
    <row r="15" spans="1:24" ht="15" customHeight="1" x14ac:dyDescent="0.3">
      <c r="A15" s="11" t="s">
        <v>182</v>
      </c>
      <c r="B15" s="11" t="s">
        <v>181</v>
      </c>
      <c r="C15" s="4">
        <v>41766073</v>
      </c>
      <c r="D15" s="4">
        <v>41766092</v>
      </c>
      <c r="E15" s="4" t="s">
        <v>264</v>
      </c>
      <c r="F15" s="12" t="s">
        <v>311</v>
      </c>
      <c r="G15" s="12" t="s">
        <v>171</v>
      </c>
      <c r="H15" s="12" t="s">
        <v>312</v>
      </c>
      <c r="I15" s="12" t="s">
        <v>598</v>
      </c>
      <c r="J15" s="4" t="s">
        <v>41</v>
      </c>
      <c r="K15" s="4">
        <v>41</v>
      </c>
      <c r="L15" s="4" t="s">
        <v>313</v>
      </c>
      <c r="M15" s="4" t="s">
        <v>32</v>
      </c>
      <c r="N15" s="4" t="s">
        <v>55</v>
      </c>
      <c r="O15" s="4" t="s">
        <v>34</v>
      </c>
      <c r="P15" s="4" t="s">
        <v>314</v>
      </c>
      <c r="Q15" s="4" t="s">
        <v>36</v>
      </c>
      <c r="R15" s="8" t="s">
        <v>26</v>
      </c>
      <c r="S15" s="8" t="s">
        <v>26</v>
      </c>
      <c r="T15" s="4" t="s">
        <v>26</v>
      </c>
      <c r="U15" s="4" t="s">
        <v>26</v>
      </c>
      <c r="V15" s="4" t="s">
        <v>26</v>
      </c>
      <c r="W15" s="4" t="s">
        <v>37</v>
      </c>
      <c r="X15" s="10" t="str">
        <f>CONCATENATE(Table2[[#This Row],[Member First Name]]," ",Table2[[#This Row],[Member Middle Name]]," ",Table2[[#This Row],[Member Last Name]])</f>
        <v>KAMAR AHMED DESOUKY</v>
      </c>
    </row>
    <row r="16" spans="1:24" ht="15" customHeight="1" x14ac:dyDescent="0.3">
      <c r="A16" s="11" t="s">
        <v>182</v>
      </c>
      <c r="B16" s="11" t="s">
        <v>181</v>
      </c>
      <c r="C16" s="4">
        <v>41766073</v>
      </c>
      <c r="D16" s="4">
        <v>41766093</v>
      </c>
      <c r="E16" s="4" t="s">
        <v>324</v>
      </c>
      <c r="F16" s="12" t="s">
        <v>339</v>
      </c>
      <c r="G16" s="12" t="s">
        <v>179</v>
      </c>
      <c r="H16" s="12" t="s">
        <v>340</v>
      </c>
      <c r="I16" s="12" t="s">
        <v>599</v>
      </c>
      <c r="J16" s="4" t="s">
        <v>41</v>
      </c>
      <c r="K16" s="4">
        <v>12</v>
      </c>
      <c r="L16" s="4" t="s">
        <v>341</v>
      </c>
      <c r="M16" s="4" t="s">
        <v>32</v>
      </c>
      <c r="N16" s="4" t="s">
        <v>33</v>
      </c>
      <c r="O16" s="4" t="s">
        <v>34</v>
      </c>
      <c r="P16" s="4" t="s">
        <v>342</v>
      </c>
      <c r="Q16" s="4" t="s">
        <v>36</v>
      </c>
      <c r="R16" s="8" t="s">
        <v>26</v>
      </c>
      <c r="S16" s="8" t="s">
        <v>26</v>
      </c>
      <c r="T16" s="4" t="s">
        <v>26</v>
      </c>
      <c r="U16" s="4" t="s">
        <v>26</v>
      </c>
      <c r="V16" s="4" t="s">
        <v>26</v>
      </c>
      <c r="W16" s="4"/>
      <c r="X16" s="10" t="str">
        <f>CONCATENATE(Table2[[#This Row],[Member First Name]]," ",Table2[[#This Row],[Member Middle Name]]," ",Table2[[#This Row],[Member Last Name]])</f>
        <v>NEAMA MAHMOUD SALAMA</v>
      </c>
    </row>
    <row r="17" spans="1:24" ht="15" customHeight="1" x14ac:dyDescent="0.3">
      <c r="A17" s="11" t="s">
        <v>182</v>
      </c>
      <c r="B17" s="11" t="s">
        <v>181</v>
      </c>
      <c r="C17" s="4">
        <v>41766073</v>
      </c>
      <c r="D17" s="4">
        <v>41766094</v>
      </c>
      <c r="E17" s="4" t="s">
        <v>324</v>
      </c>
      <c r="F17" s="12" t="s">
        <v>343</v>
      </c>
      <c r="G17" s="12" t="s">
        <v>179</v>
      </c>
      <c r="H17" s="12" t="s">
        <v>340</v>
      </c>
      <c r="I17" s="12" t="s">
        <v>600</v>
      </c>
      <c r="J17" s="4" t="s">
        <v>27</v>
      </c>
      <c r="K17" s="4">
        <v>16</v>
      </c>
      <c r="L17" s="4" t="s">
        <v>344</v>
      </c>
      <c r="M17" s="4" t="s">
        <v>32</v>
      </c>
      <c r="N17" s="4" t="s">
        <v>33</v>
      </c>
      <c r="O17" s="4" t="s">
        <v>34</v>
      </c>
      <c r="P17" s="4" t="s">
        <v>345</v>
      </c>
      <c r="Q17" s="4" t="s">
        <v>36</v>
      </c>
      <c r="R17" s="8" t="s">
        <v>26</v>
      </c>
      <c r="S17" s="8" t="s">
        <v>26</v>
      </c>
      <c r="T17" s="4" t="s">
        <v>26</v>
      </c>
      <c r="U17" s="4" t="s">
        <v>26</v>
      </c>
      <c r="V17" s="4" t="s">
        <v>26</v>
      </c>
      <c r="W17" s="4"/>
      <c r="X17" s="10" t="str">
        <f>CONCATENATE(Table2[[#This Row],[Member First Name]]," ",Table2[[#This Row],[Member Middle Name]]," ",Table2[[#This Row],[Member Last Name]])</f>
        <v>SAID MAHMOUD SALAMA</v>
      </c>
    </row>
    <row r="18" spans="1:24" ht="15" customHeight="1" x14ac:dyDescent="0.3">
      <c r="A18" s="11" t="s">
        <v>182</v>
      </c>
      <c r="B18" s="11" t="s">
        <v>181</v>
      </c>
      <c r="C18" s="4">
        <v>41766073</v>
      </c>
      <c r="D18" s="4">
        <v>41766095</v>
      </c>
      <c r="E18" s="4" t="s">
        <v>324</v>
      </c>
      <c r="F18" s="12" t="s">
        <v>171</v>
      </c>
      <c r="G18" s="12" t="s">
        <v>179</v>
      </c>
      <c r="H18" s="12" t="s">
        <v>340</v>
      </c>
      <c r="I18" s="12" t="s">
        <v>601</v>
      </c>
      <c r="J18" s="4" t="s">
        <v>27</v>
      </c>
      <c r="K18" s="4">
        <v>6</v>
      </c>
      <c r="L18" s="4" t="s">
        <v>346</v>
      </c>
      <c r="M18" s="4" t="s">
        <v>32</v>
      </c>
      <c r="N18" s="4" t="s">
        <v>33</v>
      </c>
      <c r="O18" s="4" t="s">
        <v>34</v>
      </c>
      <c r="P18" s="4" t="s">
        <v>347</v>
      </c>
      <c r="Q18" s="4" t="s">
        <v>36</v>
      </c>
      <c r="R18" s="8" t="s">
        <v>26</v>
      </c>
      <c r="S18" s="8" t="s">
        <v>26</v>
      </c>
      <c r="T18" s="4" t="s">
        <v>26</v>
      </c>
      <c r="U18" s="4" t="s">
        <v>26</v>
      </c>
      <c r="V18" s="4" t="s">
        <v>26</v>
      </c>
      <c r="W18" s="4"/>
      <c r="X18" s="10" t="str">
        <f>CONCATENATE(Table2[[#This Row],[Member First Name]]," ",Table2[[#This Row],[Member Middle Name]]," ",Table2[[#This Row],[Member Last Name]])</f>
        <v>AHMED MAHMOUD SALAMA</v>
      </c>
    </row>
    <row r="19" spans="1:24" ht="15" customHeight="1" x14ac:dyDescent="0.3">
      <c r="A19" s="11" t="s">
        <v>182</v>
      </c>
      <c r="B19" s="11" t="s">
        <v>181</v>
      </c>
      <c r="C19" s="4">
        <v>41766073</v>
      </c>
      <c r="D19" s="4">
        <v>41766096</v>
      </c>
      <c r="E19" s="4" t="s">
        <v>324</v>
      </c>
      <c r="F19" s="12" t="s">
        <v>348</v>
      </c>
      <c r="G19" s="12" t="s">
        <v>179</v>
      </c>
      <c r="H19" s="12" t="s">
        <v>340</v>
      </c>
      <c r="I19" s="12" t="s">
        <v>602</v>
      </c>
      <c r="J19" s="4" t="s">
        <v>27</v>
      </c>
      <c r="K19" s="4">
        <v>18</v>
      </c>
      <c r="L19" s="4" t="s">
        <v>349</v>
      </c>
      <c r="M19" s="4" t="s">
        <v>32</v>
      </c>
      <c r="N19" s="4" t="s">
        <v>33</v>
      </c>
      <c r="O19" s="4" t="s">
        <v>34</v>
      </c>
      <c r="P19" s="4" t="s">
        <v>350</v>
      </c>
      <c r="Q19" s="4" t="s">
        <v>36</v>
      </c>
      <c r="R19" s="8" t="s">
        <v>26</v>
      </c>
      <c r="S19" s="8" t="s">
        <v>26</v>
      </c>
      <c r="T19" s="4" t="s">
        <v>26</v>
      </c>
      <c r="U19" s="4" t="s">
        <v>26</v>
      </c>
      <c r="V19" s="4" t="s">
        <v>26</v>
      </c>
      <c r="W19" s="4"/>
      <c r="X19" s="10" t="str">
        <f>CONCATENATE(Table2[[#This Row],[Member First Name]]," ",Table2[[#This Row],[Member Middle Name]]," ",Table2[[#This Row],[Member Last Name]])</f>
        <v>OSAMA MAHMOUD SALAMA</v>
      </c>
    </row>
    <row r="20" spans="1:24" ht="15" customHeight="1" x14ac:dyDescent="0.3">
      <c r="A20" s="11" t="s">
        <v>30</v>
      </c>
      <c r="B20" s="11" t="s">
        <v>29</v>
      </c>
      <c r="C20" s="4">
        <v>41766063</v>
      </c>
      <c r="D20" s="4">
        <v>41766063</v>
      </c>
      <c r="E20" s="4" t="s">
        <v>28</v>
      </c>
      <c r="F20" s="12" t="s">
        <v>23</v>
      </c>
      <c r="G20" s="12" t="s">
        <v>24</v>
      </c>
      <c r="H20" s="12" t="s">
        <v>25</v>
      </c>
      <c r="I20" s="12" t="s">
        <v>29</v>
      </c>
      <c r="J20" s="4" t="s">
        <v>27</v>
      </c>
      <c r="K20" s="4">
        <v>31</v>
      </c>
      <c r="L20" s="4" t="s">
        <v>31</v>
      </c>
      <c r="M20" s="4" t="s">
        <v>32</v>
      </c>
      <c r="N20" s="4" t="s">
        <v>33</v>
      </c>
      <c r="O20" s="4" t="s">
        <v>34</v>
      </c>
      <c r="P20" s="4" t="s">
        <v>35</v>
      </c>
      <c r="Q20" s="4" t="s">
        <v>36</v>
      </c>
      <c r="R20" s="8" t="s">
        <v>26</v>
      </c>
      <c r="S20" s="8" t="s">
        <v>26</v>
      </c>
      <c r="T20" s="4" t="s">
        <v>26</v>
      </c>
      <c r="U20" s="4" t="s">
        <v>26</v>
      </c>
      <c r="V20" s="4" t="s">
        <v>26</v>
      </c>
      <c r="W20" s="4"/>
      <c r="X20" s="10" t="str">
        <f>CONCATENATE(Table2[[#This Row],[Member First Name]]," ",Table2[[#This Row],[Member Middle Name]]," ",Table2[[#This Row],[Member Last Name]])</f>
        <v>DALIA HESHAM ELDALGAMOUNY</v>
      </c>
    </row>
    <row r="21" spans="1:24" ht="15" customHeight="1" x14ac:dyDescent="0.3">
      <c r="A21" s="11" t="s">
        <v>188</v>
      </c>
      <c r="B21" s="11" t="s">
        <v>187</v>
      </c>
      <c r="C21" s="4">
        <v>41766074</v>
      </c>
      <c r="D21" s="4">
        <v>41766074</v>
      </c>
      <c r="E21" s="4" t="s">
        <v>28</v>
      </c>
      <c r="F21" s="12" t="s">
        <v>164</v>
      </c>
      <c r="G21" s="12" t="s">
        <v>185</v>
      </c>
      <c r="H21" s="12" t="s">
        <v>186</v>
      </c>
      <c r="I21" s="12" t="s">
        <v>187</v>
      </c>
      <c r="J21" s="4" t="s">
        <v>27</v>
      </c>
      <c r="K21" s="4">
        <v>38</v>
      </c>
      <c r="L21" s="4" t="s">
        <v>189</v>
      </c>
      <c r="M21" s="4" t="s">
        <v>32</v>
      </c>
      <c r="N21" s="4" t="s">
        <v>33</v>
      </c>
      <c r="O21" s="4" t="s">
        <v>34</v>
      </c>
      <c r="P21" s="4" t="s">
        <v>190</v>
      </c>
      <c r="Q21" s="4" t="s">
        <v>36</v>
      </c>
      <c r="R21" s="8" t="s">
        <v>26</v>
      </c>
      <c r="S21" s="8" t="s">
        <v>26</v>
      </c>
      <c r="T21" s="4" t="s">
        <v>26</v>
      </c>
      <c r="U21" s="4" t="s">
        <v>26</v>
      </c>
      <c r="V21" s="4" t="s">
        <v>26</v>
      </c>
      <c r="W21" s="4"/>
      <c r="X21" s="10" t="str">
        <f>CONCATENATE(Table2[[#This Row],[Member First Name]]," ",Table2[[#This Row],[Member Middle Name]]," ",Table2[[#This Row],[Member Last Name]])</f>
        <v>MOHAMED ABDEL WAHED ABDEL</v>
      </c>
    </row>
    <row r="22" spans="1:24" ht="15" customHeight="1" x14ac:dyDescent="0.3">
      <c r="A22" s="26" t="s">
        <v>428</v>
      </c>
      <c r="B22" s="11" t="s">
        <v>106</v>
      </c>
      <c r="C22" s="4">
        <v>41821885</v>
      </c>
      <c r="D22" s="4">
        <v>41821885</v>
      </c>
      <c r="E22" s="4" t="s">
        <v>28</v>
      </c>
      <c r="F22" s="12" t="s">
        <v>104</v>
      </c>
      <c r="G22" s="12" t="s">
        <v>26</v>
      </c>
      <c r="H22" s="12" t="s">
        <v>105</v>
      </c>
      <c r="I22" s="12" t="s">
        <v>581</v>
      </c>
      <c r="J22" s="4" t="s">
        <v>27</v>
      </c>
      <c r="K22" s="4">
        <v>33</v>
      </c>
      <c r="L22" s="4" t="s">
        <v>107</v>
      </c>
      <c r="M22" s="4" t="s">
        <v>65</v>
      </c>
      <c r="N22" s="4" t="s">
        <v>55</v>
      </c>
      <c r="O22" s="4" t="s">
        <v>34</v>
      </c>
      <c r="P22" s="4" t="s">
        <v>108</v>
      </c>
      <c r="Q22" s="4" t="s">
        <v>36</v>
      </c>
      <c r="R22" s="8" t="s">
        <v>26</v>
      </c>
      <c r="S22" s="8" t="s">
        <v>26</v>
      </c>
      <c r="T22" s="4" t="s">
        <v>109</v>
      </c>
      <c r="U22" s="4" t="s">
        <v>26</v>
      </c>
      <c r="V22" s="4" t="s">
        <v>26</v>
      </c>
      <c r="W22" s="4"/>
      <c r="X22" s="10" t="str">
        <f>CONCATENATE(Table2[[#This Row],[Member First Name]]," ",Table2[[#This Row],[Member Middle Name]]," ",Table2[[#This Row],[Member Last Name]])</f>
        <v>ANSHID  CHERIYADAN</v>
      </c>
    </row>
    <row r="23" spans="1:24" ht="15" customHeight="1" x14ac:dyDescent="0.3">
      <c r="A23" s="26" t="s">
        <v>428</v>
      </c>
      <c r="B23" s="11" t="s">
        <v>106</v>
      </c>
      <c r="C23" s="4">
        <v>41821885</v>
      </c>
      <c r="D23" s="4">
        <v>41996714</v>
      </c>
      <c r="E23" s="4" t="s">
        <v>264</v>
      </c>
      <c r="F23" s="12" t="s">
        <v>289</v>
      </c>
      <c r="G23" s="12" t="s">
        <v>171</v>
      </c>
      <c r="H23" s="12" t="s">
        <v>290</v>
      </c>
      <c r="I23" s="12" t="s">
        <v>582</v>
      </c>
      <c r="J23" s="4" t="s">
        <v>41</v>
      </c>
      <c r="K23" s="4">
        <v>26</v>
      </c>
      <c r="L23" s="4" t="s">
        <v>291</v>
      </c>
      <c r="M23" s="4" t="s">
        <v>65</v>
      </c>
      <c r="N23" s="4" t="s">
        <v>55</v>
      </c>
      <c r="O23" s="4" t="s">
        <v>34</v>
      </c>
      <c r="P23" s="8"/>
      <c r="Q23" s="4" t="s">
        <v>36</v>
      </c>
      <c r="R23" s="4" t="s">
        <v>292</v>
      </c>
      <c r="S23" s="8" t="s">
        <v>26</v>
      </c>
      <c r="T23" s="4" t="s">
        <v>293</v>
      </c>
      <c r="U23" s="4" t="s">
        <v>26</v>
      </c>
      <c r="V23" s="4" t="s">
        <v>26</v>
      </c>
      <c r="W23" s="4"/>
      <c r="X23" s="10" t="str">
        <f>CONCATENATE(Table2[[#This Row],[Member First Name]]," ",Table2[[#This Row],[Member Middle Name]]," ",Table2[[#This Row],[Member Last Name]])</f>
        <v>FIDHA AHMED MACHINGAL</v>
      </c>
    </row>
    <row r="24" spans="1:24" ht="15" customHeight="1" x14ac:dyDescent="0.3">
      <c r="A24" s="26" t="s">
        <v>428</v>
      </c>
      <c r="B24" s="11" t="s">
        <v>106</v>
      </c>
      <c r="C24" s="4">
        <v>41821885</v>
      </c>
      <c r="D24" s="4">
        <v>41996715</v>
      </c>
      <c r="E24" s="4" t="s">
        <v>324</v>
      </c>
      <c r="F24" s="12" t="s">
        <v>372</v>
      </c>
      <c r="G24" s="12" t="s">
        <v>26</v>
      </c>
      <c r="H24" s="12" t="s">
        <v>373</v>
      </c>
      <c r="I24" s="12" t="s">
        <v>583</v>
      </c>
      <c r="J24" s="4" t="s">
        <v>41</v>
      </c>
      <c r="K24" s="4">
        <v>0</v>
      </c>
      <c r="L24" s="4" t="s">
        <v>374</v>
      </c>
      <c r="M24" s="4" t="s">
        <v>65</v>
      </c>
      <c r="N24" s="4" t="s">
        <v>33</v>
      </c>
      <c r="O24" s="4" t="s">
        <v>34</v>
      </c>
      <c r="P24" s="8"/>
      <c r="Q24" s="4" t="s">
        <v>36</v>
      </c>
      <c r="R24" s="4" t="s">
        <v>375</v>
      </c>
      <c r="S24" s="4" t="s">
        <v>376</v>
      </c>
      <c r="T24" s="4" t="s">
        <v>377</v>
      </c>
      <c r="U24" s="4" t="s">
        <v>26</v>
      </c>
      <c r="V24" s="4" t="s">
        <v>233</v>
      </c>
      <c r="W24" s="4"/>
      <c r="X24" s="10" t="str">
        <f>CONCATENATE(Table2[[#This Row],[Member First Name]]," ",Table2[[#This Row],[Member Middle Name]]," ",Table2[[#This Row],[Member Last Name]])</f>
        <v>HAALA  ZOOHI</v>
      </c>
    </row>
    <row r="25" spans="1:24" ht="15" customHeight="1" x14ac:dyDescent="0.3">
      <c r="A25" s="11" t="s">
        <v>194</v>
      </c>
      <c r="B25" s="11" t="s">
        <v>193</v>
      </c>
      <c r="C25" s="4">
        <v>41766075</v>
      </c>
      <c r="D25" s="4">
        <v>41766075</v>
      </c>
      <c r="E25" s="4" t="s">
        <v>28</v>
      </c>
      <c r="F25" s="12" t="s">
        <v>191</v>
      </c>
      <c r="G25" s="12" t="s">
        <v>26</v>
      </c>
      <c r="H25" s="12" t="s">
        <v>192</v>
      </c>
      <c r="I25" s="12" t="s">
        <v>591</v>
      </c>
      <c r="J25" s="4" t="s">
        <v>27</v>
      </c>
      <c r="K25" s="4">
        <v>30</v>
      </c>
      <c r="L25" s="4" t="s">
        <v>195</v>
      </c>
      <c r="M25" s="4" t="s">
        <v>196</v>
      </c>
      <c r="N25" s="4" t="s">
        <v>55</v>
      </c>
      <c r="O25" s="4" t="s">
        <v>34</v>
      </c>
      <c r="P25" s="4" t="s">
        <v>197</v>
      </c>
      <c r="Q25" s="4" t="s">
        <v>36</v>
      </c>
      <c r="R25" s="8" t="s">
        <v>26</v>
      </c>
      <c r="S25" s="8" t="s">
        <v>26</v>
      </c>
      <c r="T25" s="4" t="s">
        <v>26</v>
      </c>
      <c r="U25" s="4" t="s">
        <v>26</v>
      </c>
      <c r="V25" s="4" t="s">
        <v>306</v>
      </c>
      <c r="W25" s="4"/>
      <c r="X25" s="10" t="str">
        <f>CONCATENATE(Table2[[#This Row],[Member First Name]]," ",Table2[[#This Row],[Member Middle Name]]," ",Table2[[#This Row],[Member Last Name]])</f>
        <v>ILKHOM  MAMAYUNUSOV</v>
      </c>
    </row>
    <row r="26" spans="1:24" ht="15" customHeight="1" x14ac:dyDescent="0.3">
      <c r="A26" s="11" t="s">
        <v>194</v>
      </c>
      <c r="B26" s="11" t="s">
        <v>193</v>
      </c>
      <c r="C26" s="4">
        <v>41766075</v>
      </c>
      <c r="D26" s="4">
        <v>41766097</v>
      </c>
      <c r="E26" s="4" t="s">
        <v>264</v>
      </c>
      <c r="F26" s="12" t="s">
        <v>307</v>
      </c>
      <c r="G26" s="12" t="s">
        <v>26</v>
      </c>
      <c r="H26" s="12" t="s">
        <v>308</v>
      </c>
      <c r="I26" s="12" t="s">
        <v>592</v>
      </c>
      <c r="J26" s="4" t="s">
        <v>41</v>
      </c>
      <c r="K26" s="4">
        <v>27</v>
      </c>
      <c r="L26" s="4" t="s">
        <v>309</v>
      </c>
      <c r="M26" s="4" t="s">
        <v>196</v>
      </c>
      <c r="N26" s="4" t="s">
        <v>55</v>
      </c>
      <c r="O26" s="4" t="s">
        <v>34</v>
      </c>
      <c r="P26" s="4" t="s">
        <v>310</v>
      </c>
      <c r="Q26" s="4" t="s">
        <v>36</v>
      </c>
      <c r="R26" s="8" t="s">
        <v>26</v>
      </c>
      <c r="S26" s="8" t="s">
        <v>26</v>
      </c>
      <c r="T26" s="4" t="s">
        <v>26</v>
      </c>
      <c r="U26" s="4" t="s">
        <v>26</v>
      </c>
      <c r="V26" s="4" t="s">
        <v>26</v>
      </c>
      <c r="W26" s="4"/>
      <c r="X26" s="10" t="str">
        <f>CONCATENATE(Table2[[#This Row],[Member First Name]]," ",Table2[[#This Row],[Member Middle Name]]," ",Table2[[#This Row],[Member Last Name]])</f>
        <v>MADINA  MAMAYUNUSOVA</v>
      </c>
    </row>
    <row r="27" spans="1:24" ht="15" customHeight="1" x14ac:dyDescent="0.3">
      <c r="A27" s="21" t="s">
        <v>194</v>
      </c>
      <c r="B27" s="21" t="s">
        <v>193</v>
      </c>
      <c r="C27" s="21">
        <v>41766075</v>
      </c>
      <c r="D27" s="21">
        <v>41766098</v>
      </c>
      <c r="E27" s="21" t="s">
        <v>324</v>
      </c>
      <c r="F27" s="21" t="s">
        <v>351</v>
      </c>
      <c r="G27" s="21" t="s">
        <v>26</v>
      </c>
      <c r="H27" s="21" t="s">
        <v>308</v>
      </c>
      <c r="I27" s="12" t="s">
        <v>593</v>
      </c>
      <c r="J27" s="21" t="s">
        <v>41</v>
      </c>
      <c r="K27" s="21">
        <v>2</v>
      </c>
      <c r="L27" s="21" t="s">
        <v>352</v>
      </c>
      <c r="M27" s="21" t="s">
        <v>196</v>
      </c>
      <c r="N27" s="21" t="s">
        <v>33</v>
      </c>
      <c r="O27" s="21" t="s">
        <v>34</v>
      </c>
      <c r="P27" s="21" t="s">
        <v>353</v>
      </c>
      <c r="Q27" s="21" t="s">
        <v>36</v>
      </c>
      <c r="R27" s="21" t="s">
        <v>26</v>
      </c>
      <c r="S27" s="21" t="s">
        <v>26</v>
      </c>
      <c r="T27" s="21" t="s">
        <v>26</v>
      </c>
      <c r="U27" s="21" t="s">
        <v>26</v>
      </c>
      <c r="V27" s="4" t="s">
        <v>26</v>
      </c>
      <c r="W27" s="4"/>
      <c r="X27" s="10" t="str">
        <f>CONCATENATE(Table2[[#This Row],[Member First Name]]," ",Table2[[#This Row],[Member Middle Name]]," ",Table2[[#This Row],[Member Last Name]])</f>
        <v>SAFIYA  MAMAYUNUSOVA</v>
      </c>
    </row>
    <row r="28" spans="1:24" ht="15" customHeight="1" x14ac:dyDescent="0.3">
      <c r="A28" s="11" t="s">
        <v>194</v>
      </c>
      <c r="B28" s="11" t="s">
        <v>193</v>
      </c>
      <c r="C28" s="4">
        <v>41766075</v>
      </c>
      <c r="D28" s="4">
        <v>41996716</v>
      </c>
      <c r="E28" s="4" t="s">
        <v>324</v>
      </c>
      <c r="F28" s="12" t="s">
        <v>378</v>
      </c>
      <c r="G28" s="12" t="s">
        <v>379</v>
      </c>
      <c r="H28" s="12" t="s">
        <v>308</v>
      </c>
      <c r="I28" s="12" t="s">
        <v>594</v>
      </c>
      <c r="J28" s="4" t="s">
        <v>41</v>
      </c>
      <c r="K28" s="4">
        <v>0</v>
      </c>
      <c r="L28" s="4" t="s">
        <v>380</v>
      </c>
      <c r="M28" s="4" t="s">
        <v>196</v>
      </c>
      <c r="N28" s="4" t="s">
        <v>33</v>
      </c>
      <c r="O28" s="4"/>
      <c r="P28" s="5"/>
      <c r="Q28" s="4" t="s">
        <v>36</v>
      </c>
      <c r="R28" s="8" t="s">
        <v>573</v>
      </c>
      <c r="S28" s="8" t="s">
        <v>26</v>
      </c>
      <c r="T28" s="4" t="s">
        <v>26</v>
      </c>
      <c r="U28" s="4" t="s">
        <v>381</v>
      </c>
      <c r="V28" s="4" t="s">
        <v>26</v>
      </c>
      <c r="W28" s="4"/>
      <c r="X28" s="10" t="str">
        <f>CONCATENATE(Table2[[#This Row],[Member First Name]]," ",Table2[[#This Row],[Member Middle Name]]," ",Table2[[#This Row],[Member Last Name]])</f>
        <v>MARYAM ILKHOMOVNA MAMAYUNUSOVA</v>
      </c>
    </row>
    <row r="29" spans="1:24" ht="15" customHeight="1" x14ac:dyDescent="0.3">
      <c r="A29" s="11" t="s">
        <v>202</v>
      </c>
      <c r="B29" s="11" t="s">
        <v>201</v>
      </c>
      <c r="C29" s="4">
        <v>41766076</v>
      </c>
      <c r="D29" s="4">
        <v>41766076</v>
      </c>
      <c r="E29" s="4" t="s">
        <v>28</v>
      </c>
      <c r="F29" s="12" t="s">
        <v>198</v>
      </c>
      <c r="G29" s="12" t="s">
        <v>199</v>
      </c>
      <c r="H29" s="12" t="s">
        <v>200</v>
      </c>
      <c r="I29" s="12" t="s">
        <v>201</v>
      </c>
      <c r="J29" s="4" t="s">
        <v>27</v>
      </c>
      <c r="K29" s="4">
        <v>27</v>
      </c>
      <c r="L29" s="4" t="s">
        <v>203</v>
      </c>
      <c r="M29" s="4" t="s">
        <v>65</v>
      </c>
      <c r="N29" s="4" t="s">
        <v>33</v>
      </c>
      <c r="O29" s="4" t="s">
        <v>34</v>
      </c>
      <c r="P29" s="4" t="s">
        <v>204</v>
      </c>
      <c r="Q29" s="4" t="s">
        <v>36</v>
      </c>
      <c r="R29" s="8" t="s">
        <v>26</v>
      </c>
      <c r="S29" s="8" t="s">
        <v>26</v>
      </c>
      <c r="T29" s="4" t="s">
        <v>26</v>
      </c>
      <c r="U29" s="4" t="s">
        <v>26</v>
      </c>
      <c r="V29" s="4" t="s">
        <v>26</v>
      </c>
      <c r="W29" s="4"/>
      <c r="X29" s="10" t="str">
        <f>CONCATENATE(Table2[[#This Row],[Member First Name]]," ",Table2[[#This Row],[Member Middle Name]]," ",Table2[[#This Row],[Member Last Name]])</f>
        <v>ASHRAF MOHAMMED HASSAN</v>
      </c>
    </row>
    <row r="30" spans="1:24" s="22" customFormat="1" ht="15" customHeight="1" x14ac:dyDescent="0.3">
      <c r="A30" s="11" t="s">
        <v>208</v>
      </c>
      <c r="B30" s="11" t="s">
        <v>207</v>
      </c>
      <c r="C30" s="4">
        <v>41766077</v>
      </c>
      <c r="D30" s="4">
        <v>41766077</v>
      </c>
      <c r="E30" s="4" t="s">
        <v>28</v>
      </c>
      <c r="F30" s="12" t="s">
        <v>166</v>
      </c>
      <c r="G30" s="12" t="s">
        <v>205</v>
      </c>
      <c r="H30" s="12" t="s">
        <v>206</v>
      </c>
      <c r="I30" s="12" t="s">
        <v>207</v>
      </c>
      <c r="J30" s="4" t="s">
        <v>27</v>
      </c>
      <c r="K30" s="4">
        <v>31</v>
      </c>
      <c r="L30" s="4" t="s">
        <v>209</v>
      </c>
      <c r="M30" s="4" t="s">
        <v>32</v>
      </c>
      <c r="N30" s="4" t="s">
        <v>33</v>
      </c>
      <c r="O30" s="4" t="s">
        <v>34</v>
      </c>
      <c r="P30" s="4" t="s">
        <v>210</v>
      </c>
      <c r="Q30" s="4" t="s">
        <v>36</v>
      </c>
      <c r="R30" s="8" t="s">
        <v>26</v>
      </c>
      <c r="S30" s="8" t="s">
        <v>26</v>
      </c>
      <c r="T30" s="4" t="s">
        <v>26</v>
      </c>
      <c r="U30" s="4" t="s">
        <v>26</v>
      </c>
      <c r="V30" s="4" t="s">
        <v>26</v>
      </c>
      <c r="W30" s="4"/>
      <c r="X30" s="10" t="str">
        <f>CONCATENATE(Table2[[#This Row],[Member First Name]]," ",Table2[[#This Row],[Member Middle Name]]," ",Table2[[#This Row],[Member Last Name]])</f>
        <v>ALI RAOUF ABOUZAID</v>
      </c>
    </row>
    <row r="31" spans="1:24" ht="15" customHeight="1" x14ac:dyDescent="0.3">
      <c r="A31" s="11" t="s">
        <v>121</v>
      </c>
      <c r="B31" s="11" t="s">
        <v>120</v>
      </c>
      <c r="C31" s="4">
        <v>41766064</v>
      </c>
      <c r="D31" s="4">
        <v>41766064</v>
      </c>
      <c r="E31" s="4" t="s">
        <v>28</v>
      </c>
      <c r="F31" s="12" t="s">
        <v>118</v>
      </c>
      <c r="G31" s="12" t="s">
        <v>26</v>
      </c>
      <c r="H31" s="12" t="s">
        <v>119</v>
      </c>
      <c r="I31" s="12" t="s">
        <v>607</v>
      </c>
      <c r="J31" s="4" t="s">
        <v>27</v>
      </c>
      <c r="K31" s="4">
        <v>35</v>
      </c>
      <c r="L31" s="4" t="s">
        <v>122</v>
      </c>
      <c r="M31" s="4" t="s">
        <v>65</v>
      </c>
      <c r="N31" s="4" t="s">
        <v>55</v>
      </c>
      <c r="O31" s="4" t="s">
        <v>34</v>
      </c>
      <c r="P31" s="4" t="s">
        <v>123</v>
      </c>
      <c r="Q31" s="4" t="s">
        <v>36</v>
      </c>
      <c r="R31" s="8" t="s">
        <v>26</v>
      </c>
      <c r="S31" s="8" t="s">
        <v>26</v>
      </c>
      <c r="T31" s="4" t="s">
        <v>26</v>
      </c>
      <c r="U31" s="4" t="s">
        <v>26</v>
      </c>
      <c r="V31" s="4" t="s">
        <v>26</v>
      </c>
      <c r="W31" s="4"/>
      <c r="X31" s="10" t="str">
        <f>CONCATENATE(Table2[[#This Row],[Member First Name]]," ",Table2[[#This Row],[Member Middle Name]]," ",Table2[[#This Row],[Member Last Name]])</f>
        <v>SHAFEEQE  VAKKAYIL</v>
      </c>
    </row>
    <row r="32" spans="1:24" ht="15" customHeight="1" x14ac:dyDescent="0.3">
      <c r="A32" s="11" t="s">
        <v>121</v>
      </c>
      <c r="B32" s="11" t="s">
        <v>120</v>
      </c>
      <c r="C32" s="4">
        <v>41766064</v>
      </c>
      <c r="D32" s="4">
        <v>41766085</v>
      </c>
      <c r="E32" s="4" t="s">
        <v>264</v>
      </c>
      <c r="F32" s="12" t="s">
        <v>261</v>
      </c>
      <c r="G32" s="12" t="s">
        <v>262</v>
      </c>
      <c r="H32" s="12" t="s">
        <v>263</v>
      </c>
      <c r="I32" s="12" t="s">
        <v>608</v>
      </c>
      <c r="J32" s="4" t="s">
        <v>41</v>
      </c>
      <c r="K32" s="4">
        <v>28</v>
      </c>
      <c r="L32" s="4" t="s">
        <v>265</v>
      </c>
      <c r="M32" s="4" t="s">
        <v>65</v>
      </c>
      <c r="N32" s="4" t="s">
        <v>55</v>
      </c>
      <c r="O32" s="4" t="s">
        <v>34</v>
      </c>
      <c r="P32" s="4" t="s">
        <v>266</v>
      </c>
      <c r="Q32" s="4" t="s">
        <v>36</v>
      </c>
      <c r="R32" s="8" t="s">
        <v>26</v>
      </c>
      <c r="S32" s="8" t="s">
        <v>26</v>
      </c>
      <c r="T32" s="4" t="s">
        <v>26</v>
      </c>
      <c r="U32" s="4" t="s">
        <v>26</v>
      </c>
      <c r="V32" s="4" t="s">
        <v>26</v>
      </c>
      <c r="W32" s="4"/>
      <c r="X32" s="10" t="str">
        <f>CONCATENATE(Table2[[#This Row],[Member First Name]]," ",Table2[[#This Row],[Member Middle Name]]," ",Table2[[#This Row],[Member Last Name]])</f>
        <v>JASEENA SHARIN PUTHIYAKATH</v>
      </c>
    </row>
    <row r="33" spans="1:24" ht="15" customHeight="1" x14ac:dyDescent="0.3">
      <c r="A33" s="11" t="s">
        <v>121</v>
      </c>
      <c r="B33" s="11" t="s">
        <v>120</v>
      </c>
      <c r="C33" s="4">
        <v>41766064</v>
      </c>
      <c r="D33" s="4">
        <v>41766086</v>
      </c>
      <c r="E33" s="4" t="s">
        <v>324</v>
      </c>
      <c r="F33" s="12" t="s">
        <v>322</v>
      </c>
      <c r="G33" s="12" t="s">
        <v>323</v>
      </c>
      <c r="H33" s="12" t="s">
        <v>119</v>
      </c>
      <c r="I33" s="12" t="s">
        <v>609</v>
      </c>
      <c r="J33" s="4" t="s">
        <v>27</v>
      </c>
      <c r="K33" s="4">
        <v>6</v>
      </c>
      <c r="L33" s="4" t="s">
        <v>325</v>
      </c>
      <c r="M33" s="4" t="s">
        <v>65</v>
      </c>
      <c r="N33" s="4" t="s">
        <v>33</v>
      </c>
      <c r="O33" s="4" t="s">
        <v>34</v>
      </c>
      <c r="P33" s="4" t="s">
        <v>326</v>
      </c>
      <c r="Q33" s="4" t="s">
        <v>36</v>
      </c>
      <c r="R33" s="8" t="s">
        <v>26</v>
      </c>
      <c r="S33" s="8" t="s">
        <v>26</v>
      </c>
      <c r="T33" s="4" t="s">
        <v>26</v>
      </c>
      <c r="U33" s="4" t="s">
        <v>26</v>
      </c>
      <c r="V33" s="4" t="s">
        <v>26</v>
      </c>
      <c r="W33" s="4"/>
      <c r="X33" s="10" t="str">
        <f>CONCATENATE(Table2[[#This Row],[Member First Name]]," ",Table2[[#This Row],[Member Middle Name]]," ",Table2[[#This Row],[Member Last Name]])</f>
        <v>MUHAMMAD HANOON VAKKAYIL</v>
      </c>
    </row>
    <row r="34" spans="1:24" ht="15" customHeight="1" x14ac:dyDescent="0.3">
      <c r="A34" s="11" t="s">
        <v>121</v>
      </c>
      <c r="B34" s="11" t="s">
        <v>120</v>
      </c>
      <c r="C34" s="4">
        <v>41766064</v>
      </c>
      <c r="D34" s="4">
        <v>41766087</v>
      </c>
      <c r="E34" s="4" t="s">
        <v>324</v>
      </c>
      <c r="F34" s="12" t="s">
        <v>327</v>
      </c>
      <c r="G34" s="12" t="s">
        <v>328</v>
      </c>
      <c r="H34" s="12" t="s">
        <v>119</v>
      </c>
      <c r="I34" s="12" t="s">
        <v>610</v>
      </c>
      <c r="J34" s="4" t="s">
        <v>41</v>
      </c>
      <c r="K34" s="4">
        <v>2</v>
      </c>
      <c r="L34" s="4" t="s">
        <v>329</v>
      </c>
      <c r="M34" s="4" t="s">
        <v>65</v>
      </c>
      <c r="N34" s="4" t="s">
        <v>33</v>
      </c>
      <c r="O34" s="4" t="s">
        <v>34</v>
      </c>
      <c r="P34" s="4" t="s">
        <v>330</v>
      </c>
      <c r="Q34" s="4" t="s">
        <v>36</v>
      </c>
      <c r="R34" s="8" t="s">
        <v>26</v>
      </c>
      <c r="S34" s="8" t="s">
        <v>26</v>
      </c>
      <c r="T34" s="4" t="s">
        <v>26</v>
      </c>
      <c r="U34" s="4" t="s">
        <v>26</v>
      </c>
      <c r="V34" s="4" t="s">
        <v>26</v>
      </c>
      <c r="W34" s="4"/>
      <c r="X34" s="10" t="str">
        <f>CONCATENATE(Table2[[#This Row],[Member First Name]]," ",Table2[[#This Row],[Member Middle Name]]," ",Table2[[#This Row],[Member Last Name]])</f>
        <v>YAARA MARIYAM VAKKAYIL</v>
      </c>
    </row>
    <row r="35" spans="1:24" ht="15" customHeight="1" x14ac:dyDescent="0.3">
      <c r="A35" s="11" t="s">
        <v>258</v>
      </c>
      <c r="B35" s="11" t="s">
        <v>257</v>
      </c>
      <c r="C35" s="4">
        <v>41766084</v>
      </c>
      <c r="D35" s="4">
        <v>41766084</v>
      </c>
      <c r="E35" s="4" t="s">
        <v>28</v>
      </c>
      <c r="F35" s="12" t="s">
        <v>254</v>
      </c>
      <c r="G35" s="12" t="s">
        <v>255</v>
      </c>
      <c r="H35" s="12" t="s">
        <v>256</v>
      </c>
      <c r="I35" s="12" t="s">
        <v>257</v>
      </c>
      <c r="J35" s="4" t="s">
        <v>41</v>
      </c>
      <c r="K35" s="4">
        <v>39</v>
      </c>
      <c r="L35" s="4" t="s">
        <v>259</v>
      </c>
      <c r="M35" s="4" t="s">
        <v>45</v>
      </c>
      <c r="N35" s="4" t="s">
        <v>55</v>
      </c>
      <c r="O35" s="4" t="s">
        <v>34</v>
      </c>
      <c r="P35" s="4" t="s">
        <v>260</v>
      </c>
      <c r="Q35" s="4" t="s">
        <v>36</v>
      </c>
      <c r="R35" s="8" t="s">
        <v>26</v>
      </c>
      <c r="S35" s="8" t="s">
        <v>26</v>
      </c>
      <c r="T35" s="4" t="s">
        <v>26</v>
      </c>
      <c r="U35" s="4" t="s">
        <v>26</v>
      </c>
      <c r="V35" s="4" t="s">
        <v>26</v>
      </c>
      <c r="W35" s="4"/>
      <c r="X35" s="10" t="str">
        <f>CONCATENATE(Table2[[#This Row],[Member First Name]]," ",Table2[[#This Row],[Member Middle Name]]," ",Table2[[#This Row],[Member Last Name]])</f>
        <v>GEZEIL RODRIGUEZ NATIVIDAD</v>
      </c>
    </row>
    <row r="36" spans="1:24" ht="15" customHeight="1" x14ac:dyDescent="0.3">
      <c r="A36" s="11" t="s">
        <v>258</v>
      </c>
      <c r="B36" s="11" t="s">
        <v>257</v>
      </c>
      <c r="C36" s="4">
        <v>41766084</v>
      </c>
      <c r="D36" s="4">
        <v>41766100</v>
      </c>
      <c r="E36" s="4" t="s">
        <v>264</v>
      </c>
      <c r="F36" s="12" t="s">
        <v>294</v>
      </c>
      <c r="G36" s="12" t="s">
        <v>295</v>
      </c>
      <c r="H36" s="12" t="s">
        <v>296</v>
      </c>
      <c r="I36" s="12" t="s">
        <v>586</v>
      </c>
      <c r="J36" s="4" t="s">
        <v>27</v>
      </c>
      <c r="K36" s="4">
        <v>39</v>
      </c>
      <c r="L36" s="4" t="s">
        <v>297</v>
      </c>
      <c r="M36" s="4" t="s">
        <v>45</v>
      </c>
      <c r="N36" s="4" t="s">
        <v>55</v>
      </c>
      <c r="O36" s="4" t="s">
        <v>34</v>
      </c>
      <c r="P36" s="4" t="s">
        <v>298</v>
      </c>
      <c r="Q36" s="4" t="s">
        <v>36</v>
      </c>
      <c r="R36" s="8" t="s">
        <v>26</v>
      </c>
      <c r="S36" s="8" t="s">
        <v>26</v>
      </c>
      <c r="T36" s="4" t="s">
        <v>26</v>
      </c>
      <c r="U36" s="4" t="s">
        <v>26</v>
      </c>
      <c r="V36" s="4" t="s">
        <v>26</v>
      </c>
      <c r="W36" s="4"/>
      <c r="X36" s="10" t="str">
        <f>CONCATENATE(Table2[[#This Row],[Member First Name]]," ",Table2[[#This Row],[Member Middle Name]]," ",Table2[[#This Row],[Member Last Name]])</f>
        <v>MARC JASON PERERAS PUNZALAN</v>
      </c>
    </row>
    <row r="37" spans="1:24" ht="15" customHeight="1" x14ac:dyDescent="0.3">
      <c r="A37" s="11" t="s">
        <v>258</v>
      </c>
      <c r="B37" s="11" t="s">
        <v>257</v>
      </c>
      <c r="C37" s="4">
        <v>41766084</v>
      </c>
      <c r="D37" s="4">
        <v>41766101</v>
      </c>
      <c r="E37" s="4" t="s">
        <v>324</v>
      </c>
      <c r="F37" s="12" t="s">
        <v>354</v>
      </c>
      <c r="G37" s="12" t="s">
        <v>256</v>
      </c>
      <c r="H37" s="12" t="s">
        <v>296</v>
      </c>
      <c r="I37" s="12" t="s">
        <v>587</v>
      </c>
      <c r="J37" s="4" t="s">
        <v>27</v>
      </c>
      <c r="K37" s="4">
        <v>7</v>
      </c>
      <c r="L37" s="4" t="s">
        <v>355</v>
      </c>
      <c r="M37" s="4" t="s">
        <v>45</v>
      </c>
      <c r="N37" s="4" t="s">
        <v>33</v>
      </c>
      <c r="O37" s="4" t="s">
        <v>34</v>
      </c>
      <c r="P37" s="4" t="s">
        <v>356</v>
      </c>
      <c r="Q37" s="4" t="s">
        <v>36</v>
      </c>
      <c r="R37" s="8" t="s">
        <v>26</v>
      </c>
      <c r="S37" s="8" t="s">
        <v>26</v>
      </c>
      <c r="T37" s="4" t="s">
        <v>26</v>
      </c>
      <c r="U37" s="4" t="s">
        <v>26</v>
      </c>
      <c r="V37" s="4" t="s">
        <v>26</v>
      </c>
      <c r="W37" s="4"/>
      <c r="X37" s="10" t="str">
        <f>CONCATENATE(Table2[[#This Row],[Member First Name]]," ",Table2[[#This Row],[Member Middle Name]]," ",Table2[[#This Row],[Member Last Name]])</f>
        <v>MARC JOSHUA NATIVIDAD PUNZALAN</v>
      </c>
    </row>
    <row r="38" spans="1:24" ht="15" customHeight="1" x14ac:dyDescent="0.3">
      <c r="A38" s="11" t="s">
        <v>258</v>
      </c>
      <c r="B38" s="11" t="s">
        <v>257</v>
      </c>
      <c r="C38" s="4">
        <v>41766084</v>
      </c>
      <c r="D38" s="4">
        <v>41766102</v>
      </c>
      <c r="E38" s="4" t="s">
        <v>324</v>
      </c>
      <c r="F38" s="12" t="s">
        <v>357</v>
      </c>
      <c r="G38" s="12" t="s">
        <v>256</v>
      </c>
      <c r="H38" s="12" t="s">
        <v>296</v>
      </c>
      <c r="I38" s="12" t="s">
        <v>588</v>
      </c>
      <c r="J38" s="4" t="s">
        <v>27</v>
      </c>
      <c r="K38" s="4">
        <v>19</v>
      </c>
      <c r="L38" s="4" t="s">
        <v>358</v>
      </c>
      <c r="M38" s="4" t="s">
        <v>45</v>
      </c>
      <c r="N38" s="4" t="s">
        <v>33</v>
      </c>
      <c r="O38" s="4" t="s">
        <v>34</v>
      </c>
      <c r="P38" s="4" t="s">
        <v>359</v>
      </c>
      <c r="Q38" s="4" t="s">
        <v>36</v>
      </c>
      <c r="R38" s="8" t="s">
        <v>26</v>
      </c>
      <c r="S38" s="8" t="s">
        <v>26</v>
      </c>
      <c r="T38" s="4" t="s">
        <v>26</v>
      </c>
      <c r="U38" s="4" t="s">
        <v>26</v>
      </c>
      <c r="V38" s="4" t="s">
        <v>26</v>
      </c>
      <c r="W38" s="4"/>
      <c r="X38" s="10" t="str">
        <f>CONCATENATE(Table2[[#This Row],[Member First Name]]," ",Table2[[#This Row],[Member Middle Name]]," ",Table2[[#This Row],[Member Last Name]])</f>
        <v>MARC RIZEN NATIVIDAD PUNZALAN</v>
      </c>
    </row>
    <row r="39" spans="1:24" ht="15" customHeight="1" x14ac:dyDescent="0.3">
      <c r="A39" s="11" t="s">
        <v>214</v>
      </c>
      <c r="B39" s="11" t="s">
        <v>213</v>
      </c>
      <c r="C39" s="4">
        <v>41766078</v>
      </c>
      <c r="D39" s="4">
        <v>41766078</v>
      </c>
      <c r="E39" s="4" t="s">
        <v>28</v>
      </c>
      <c r="F39" s="12" t="s">
        <v>211</v>
      </c>
      <c r="G39" s="12" t="s">
        <v>26</v>
      </c>
      <c r="H39" s="12" t="s">
        <v>212</v>
      </c>
      <c r="I39" s="12" t="s">
        <v>584</v>
      </c>
      <c r="J39" s="4" t="s">
        <v>27</v>
      </c>
      <c r="K39" s="4">
        <v>31</v>
      </c>
      <c r="L39" s="4" t="s">
        <v>215</v>
      </c>
      <c r="M39" s="4" t="s">
        <v>65</v>
      </c>
      <c r="N39" s="4" t="s">
        <v>55</v>
      </c>
      <c r="O39" s="4" t="s">
        <v>34</v>
      </c>
      <c r="P39" s="4" t="s">
        <v>216</v>
      </c>
      <c r="Q39" s="4" t="s">
        <v>36</v>
      </c>
      <c r="R39" s="8" t="s">
        <v>26</v>
      </c>
      <c r="S39" s="8" t="s">
        <v>26</v>
      </c>
      <c r="T39" s="4" t="s">
        <v>26</v>
      </c>
      <c r="U39" s="4" t="s">
        <v>26</v>
      </c>
      <c r="V39" s="4" t="s">
        <v>26</v>
      </c>
      <c r="W39" s="4"/>
      <c r="X39" s="10" t="str">
        <f>CONCATENATE(Table2[[#This Row],[Member First Name]]," ",Table2[[#This Row],[Member Middle Name]]," ",Table2[[#This Row],[Member Last Name]])</f>
        <v>DIJESH  THAZHATHETHIL</v>
      </c>
    </row>
    <row r="40" spans="1:24" ht="15" customHeight="1" x14ac:dyDescent="0.3">
      <c r="A40" s="11" t="s">
        <v>214</v>
      </c>
      <c r="B40" s="11" t="s">
        <v>213</v>
      </c>
      <c r="C40" s="4">
        <v>41766078</v>
      </c>
      <c r="D40" s="4">
        <v>41778687</v>
      </c>
      <c r="E40" s="4" t="s">
        <v>264</v>
      </c>
      <c r="F40" s="12" t="s">
        <v>284</v>
      </c>
      <c r="G40" s="12" t="s">
        <v>285</v>
      </c>
      <c r="H40" s="12" t="s">
        <v>285</v>
      </c>
      <c r="I40" s="12" t="s">
        <v>585</v>
      </c>
      <c r="J40" s="4" t="s">
        <v>41</v>
      </c>
      <c r="K40" s="4">
        <v>25</v>
      </c>
      <c r="L40" s="4" t="s">
        <v>286</v>
      </c>
      <c r="M40" s="4" t="s">
        <v>65</v>
      </c>
      <c r="N40" s="4" t="s">
        <v>55</v>
      </c>
      <c r="O40" s="4" t="s">
        <v>34</v>
      </c>
      <c r="P40" s="4" t="s">
        <v>287</v>
      </c>
      <c r="Q40" s="4" t="s">
        <v>36</v>
      </c>
      <c r="R40" s="8" t="s">
        <v>26</v>
      </c>
      <c r="S40" s="8" t="s">
        <v>26</v>
      </c>
      <c r="T40" s="4" t="s">
        <v>288</v>
      </c>
      <c r="U40" s="4" t="s">
        <v>26</v>
      </c>
      <c r="V40" s="4" t="s">
        <v>26</v>
      </c>
      <c r="W40" s="4"/>
      <c r="X40" s="10" t="str">
        <f>CONCATENATE(Table2[[#This Row],[Member First Name]]," ",Table2[[#This Row],[Member Middle Name]]," ",Table2[[#This Row],[Member Last Name]])</f>
        <v>AISHWARYA RAJESH RAJESH</v>
      </c>
    </row>
    <row r="41" spans="1:24" ht="15" customHeight="1" x14ac:dyDescent="0.3">
      <c r="A41" s="11" t="s">
        <v>220</v>
      </c>
      <c r="B41" s="11" t="s">
        <v>219</v>
      </c>
      <c r="C41" s="4">
        <v>41766079</v>
      </c>
      <c r="D41" s="4">
        <v>41766079</v>
      </c>
      <c r="E41" s="4" t="s">
        <v>28</v>
      </c>
      <c r="F41" s="12" t="s">
        <v>217</v>
      </c>
      <c r="G41" s="12" t="s">
        <v>26</v>
      </c>
      <c r="H41" s="12" t="s">
        <v>218</v>
      </c>
      <c r="I41" s="12" t="s">
        <v>605</v>
      </c>
      <c r="J41" s="4" t="s">
        <v>27</v>
      </c>
      <c r="K41" s="4">
        <v>39</v>
      </c>
      <c r="L41" s="4" t="s">
        <v>221</v>
      </c>
      <c r="M41" s="4" t="s">
        <v>222</v>
      </c>
      <c r="N41" s="4" t="s">
        <v>55</v>
      </c>
      <c r="O41" s="4" t="s">
        <v>34</v>
      </c>
      <c r="P41" s="4" t="s">
        <v>223</v>
      </c>
      <c r="Q41" s="4" t="s">
        <v>36</v>
      </c>
      <c r="R41" s="8" t="s">
        <v>26</v>
      </c>
      <c r="S41" s="8" t="s">
        <v>26</v>
      </c>
      <c r="T41" s="4" t="s">
        <v>26</v>
      </c>
      <c r="U41" s="4" t="s">
        <v>26</v>
      </c>
      <c r="V41" s="4" t="s">
        <v>26</v>
      </c>
      <c r="W41" s="4"/>
      <c r="X41" s="10" t="str">
        <f>CONCATENATE(Table2[[#This Row],[Member First Name]]," ",Table2[[#This Row],[Member Middle Name]]," ",Table2[[#This Row],[Member Last Name]])</f>
        <v>SEDDIK  GUEHAIRIA</v>
      </c>
    </row>
    <row r="42" spans="1:24" ht="15" customHeight="1" x14ac:dyDescent="0.3">
      <c r="A42" s="11" t="s">
        <v>220</v>
      </c>
      <c r="B42" s="11" t="s">
        <v>219</v>
      </c>
      <c r="C42" s="4">
        <v>41766079</v>
      </c>
      <c r="D42" s="4">
        <v>42618855</v>
      </c>
      <c r="E42" s="4" t="s">
        <v>264</v>
      </c>
      <c r="F42" s="12" t="s">
        <v>267</v>
      </c>
      <c r="G42" s="12" t="s">
        <v>26</v>
      </c>
      <c r="H42" s="12" t="s">
        <v>268</v>
      </c>
      <c r="I42" s="12" t="s">
        <v>606</v>
      </c>
      <c r="J42" s="4" t="s">
        <v>41</v>
      </c>
      <c r="K42" s="4">
        <v>39</v>
      </c>
      <c r="L42" s="4" t="s">
        <v>269</v>
      </c>
      <c r="M42" s="4" t="s">
        <v>222</v>
      </c>
      <c r="N42" s="4" t="s">
        <v>55</v>
      </c>
      <c r="O42" s="4" t="s">
        <v>34</v>
      </c>
      <c r="P42" s="8"/>
      <c r="Q42" s="4" t="s">
        <v>36</v>
      </c>
      <c r="R42" s="4" t="s">
        <v>270</v>
      </c>
      <c r="S42" s="8" t="s">
        <v>26</v>
      </c>
      <c r="T42" s="4" t="s">
        <v>271</v>
      </c>
      <c r="U42" s="4" t="s">
        <v>26</v>
      </c>
      <c r="V42" s="4" t="s">
        <v>26</v>
      </c>
      <c r="W42" s="4"/>
      <c r="X42" s="10" t="str">
        <f>CONCATENATE(Table2[[#This Row],[Member First Name]]," ",Table2[[#This Row],[Member Middle Name]]," ",Table2[[#This Row],[Member Last Name]])</f>
        <v>SAIDA  HAMDI</v>
      </c>
    </row>
    <row r="43" spans="1:24" ht="15" customHeight="1" x14ac:dyDescent="0.3">
      <c r="A43" s="11" t="s">
        <v>228</v>
      </c>
      <c r="B43" s="11" t="s">
        <v>227</v>
      </c>
      <c r="C43" s="4">
        <v>41766080</v>
      </c>
      <c r="D43" s="4">
        <v>41766080</v>
      </c>
      <c r="E43" s="4" t="s">
        <v>28</v>
      </c>
      <c r="F43" s="12" t="s">
        <v>224</v>
      </c>
      <c r="G43" s="12" t="s">
        <v>225</v>
      </c>
      <c r="H43" s="12" t="s">
        <v>226</v>
      </c>
      <c r="I43" s="12" t="s">
        <v>227</v>
      </c>
      <c r="J43" s="4" t="s">
        <v>27</v>
      </c>
      <c r="K43" s="4">
        <v>57</v>
      </c>
      <c r="L43" s="4" t="s">
        <v>229</v>
      </c>
      <c r="M43" s="4" t="s">
        <v>32</v>
      </c>
      <c r="N43" s="4" t="s">
        <v>55</v>
      </c>
      <c r="O43" s="4" t="s">
        <v>34</v>
      </c>
      <c r="P43" s="4" t="s">
        <v>230</v>
      </c>
      <c r="Q43" s="4" t="s">
        <v>131</v>
      </c>
      <c r="R43" s="4" t="s">
        <v>231</v>
      </c>
      <c r="S43" s="4" t="s">
        <v>232</v>
      </c>
      <c r="T43" s="4" t="s">
        <v>231</v>
      </c>
      <c r="U43" s="4" t="s">
        <v>26</v>
      </c>
      <c r="V43" s="4" t="s">
        <v>26</v>
      </c>
      <c r="W43" s="4"/>
      <c r="X43" s="10" t="str">
        <f>CONCATENATE(Table2[[#This Row],[Member First Name]]," ",Table2[[#This Row],[Member Middle Name]]," ",Table2[[#This Row],[Member Last Name]])</f>
        <v>HOSSAM ELSAYED ABDO EMAM</v>
      </c>
    </row>
    <row r="44" spans="1:24" ht="15" customHeight="1" x14ac:dyDescent="0.3">
      <c r="A44" s="11" t="s">
        <v>228</v>
      </c>
      <c r="B44" s="11" t="s">
        <v>227</v>
      </c>
      <c r="C44" s="4">
        <v>41766080</v>
      </c>
      <c r="D44" s="4">
        <v>41766099</v>
      </c>
      <c r="E44" s="4" t="s">
        <v>264</v>
      </c>
      <c r="F44" s="12" t="s">
        <v>299</v>
      </c>
      <c r="G44" s="12" t="s">
        <v>300</v>
      </c>
      <c r="H44" s="12" t="s">
        <v>301</v>
      </c>
      <c r="I44" s="12" t="s">
        <v>589</v>
      </c>
      <c r="J44" s="4" t="s">
        <v>41</v>
      </c>
      <c r="K44" s="4">
        <v>48</v>
      </c>
      <c r="L44" s="4" t="s">
        <v>302</v>
      </c>
      <c r="M44" s="4" t="s">
        <v>32</v>
      </c>
      <c r="N44" s="4" t="s">
        <v>55</v>
      </c>
      <c r="O44" s="4" t="s">
        <v>34</v>
      </c>
      <c r="P44" s="4" t="s">
        <v>303</v>
      </c>
      <c r="Q44" s="4" t="s">
        <v>131</v>
      </c>
      <c r="R44" s="4" t="s">
        <v>304</v>
      </c>
      <c r="S44" s="4" t="s">
        <v>305</v>
      </c>
      <c r="T44" s="4" t="s">
        <v>304</v>
      </c>
      <c r="U44" s="4" t="s">
        <v>26</v>
      </c>
      <c r="V44" s="4" t="s">
        <v>26</v>
      </c>
      <c r="W44" s="4"/>
      <c r="X44" s="10" t="str">
        <f>CONCATENATE(Table2[[#This Row],[Member First Name]]," ",Table2[[#This Row],[Member Middle Name]]," ",Table2[[#This Row],[Member Last Name]])</f>
        <v>RANYA HELMY ELHABAL</v>
      </c>
    </row>
    <row r="45" spans="1:24" ht="15" customHeight="1" x14ac:dyDescent="0.3">
      <c r="A45" s="26" t="s">
        <v>456</v>
      </c>
      <c r="B45" s="11" t="s">
        <v>389</v>
      </c>
      <c r="C45" s="4">
        <v>41766610</v>
      </c>
      <c r="D45" s="4">
        <v>41766610</v>
      </c>
      <c r="E45" s="4" t="s">
        <v>28</v>
      </c>
      <c r="F45" s="12" t="s">
        <v>386</v>
      </c>
      <c r="G45" s="12" t="s">
        <v>387</v>
      </c>
      <c r="H45" s="12" t="s">
        <v>388</v>
      </c>
      <c r="I45" s="12" t="s">
        <v>389</v>
      </c>
      <c r="J45" s="4" t="s">
        <v>27</v>
      </c>
      <c r="K45" s="4">
        <v>66</v>
      </c>
      <c r="L45" s="4" t="s">
        <v>390</v>
      </c>
      <c r="M45" s="4" t="s">
        <v>65</v>
      </c>
      <c r="N45" s="4" t="s">
        <v>55</v>
      </c>
      <c r="O45" s="4" t="s">
        <v>34</v>
      </c>
      <c r="P45" s="4" t="s">
        <v>391</v>
      </c>
      <c r="Q45" s="4" t="s">
        <v>36</v>
      </c>
      <c r="R45" s="8" t="s">
        <v>26</v>
      </c>
      <c r="S45" s="8" t="s">
        <v>26</v>
      </c>
      <c r="T45" s="4" t="s">
        <v>26</v>
      </c>
      <c r="U45" s="4" t="s">
        <v>26</v>
      </c>
      <c r="V45" s="4" t="s">
        <v>26</v>
      </c>
      <c r="W45" s="4"/>
      <c r="X45" s="10" t="str">
        <f>CONCATENATE(Table2[[#This Row],[Member First Name]]," ",Table2[[#This Row],[Member Middle Name]]," ",Table2[[#This Row],[Member Last Name]])</f>
        <v>ALEXANDER MANUAL VAZ</v>
      </c>
    </row>
    <row r="46" spans="1:24" ht="15" customHeight="1" x14ac:dyDescent="0.3">
      <c r="A46" s="26" t="s">
        <v>456</v>
      </c>
      <c r="B46" s="11" t="s">
        <v>389</v>
      </c>
      <c r="C46" s="4">
        <v>41766610</v>
      </c>
      <c r="D46" s="4">
        <v>41766617</v>
      </c>
      <c r="E46" s="4" t="s">
        <v>264</v>
      </c>
      <c r="F46" s="12" t="s">
        <v>392</v>
      </c>
      <c r="G46" s="12" t="s">
        <v>393</v>
      </c>
      <c r="H46" s="12" t="s">
        <v>388</v>
      </c>
      <c r="I46" s="12" t="s">
        <v>577</v>
      </c>
      <c r="J46" s="4" t="s">
        <v>41</v>
      </c>
      <c r="K46" s="4">
        <v>55</v>
      </c>
      <c r="L46" s="4" t="s">
        <v>394</v>
      </c>
      <c r="M46" s="4" t="s">
        <v>45</v>
      </c>
      <c r="N46" s="4" t="s">
        <v>55</v>
      </c>
      <c r="O46" s="4" t="s">
        <v>34</v>
      </c>
      <c r="P46" s="4" t="s">
        <v>395</v>
      </c>
      <c r="Q46" s="4" t="s">
        <v>36</v>
      </c>
      <c r="R46" s="8" t="s">
        <v>26</v>
      </c>
      <c r="S46" s="8" t="s">
        <v>26</v>
      </c>
      <c r="T46" s="4" t="s">
        <v>26</v>
      </c>
      <c r="U46" s="4" t="s">
        <v>26</v>
      </c>
      <c r="V46" s="4" t="s">
        <v>26</v>
      </c>
      <c r="W46" s="4"/>
      <c r="X46" s="10" t="str">
        <f>CONCATENATE(Table2[[#This Row],[Member First Name]]," ",Table2[[#This Row],[Member Middle Name]]," ",Table2[[#This Row],[Member Last Name]])</f>
        <v>BELLA DOMINGO VAZ</v>
      </c>
    </row>
    <row r="47" spans="1:24" ht="15" customHeight="1" x14ac:dyDescent="0.3">
      <c r="A47" s="26" t="s">
        <v>456</v>
      </c>
      <c r="B47" s="11" t="s">
        <v>389</v>
      </c>
      <c r="C47" s="4">
        <v>41766610</v>
      </c>
      <c r="D47" s="4">
        <v>41766615</v>
      </c>
      <c r="E47" s="4" t="s">
        <v>324</v>
      </c>
      <c r="F47" s="12" t="s">
        <v>396</v>
      </c>
      <c r="G47" s="12" t="s">
        <v>397</v>
      </c>
      <c r="H47" s="12" t="s">
        <v>388</v>
      </c>
      <c r="I47" s="12" t="s">
        <v>578</v>
      </c>
      <c r="J47" s="4" t="s">
        <v>41</v>
      </c>
      <c r="K47" s="4">
        <v>32</v>
      </c>
      <c r="L47" s="4" t="s">
        <v>398</v>
      </c>
      <c r="M47" s="4" t="s">
        <v>45</v>
      </c>
      <c r="N47" s="4" t="s">
        <v>33</v>
      </c>
      <c r="O47" s="4" t="s">
        <v>34</v>
      </c>
      <c r="P47" s="4" t="s">
        <v>399</v>
      </c>
      <c r="Q47" s="4" t="s">
        <v>36</v>
      </c>
      <c r="R47" s="8" t="s">
        <v>26</v>
      </c>
      <c r="S47" s="8" t="s">
        <v>26</v>
      </c>
      <c r="T47" s="4" t="s">
        <v>26</v>
      </c>
      <c r="U47" s="4" t="s">
        <v>26</v>
      </c>
      <c r="V47" s="4" t="s">
        <v>26</v>
      </c>
      <c r="W47" s="4" t="s">
        <v>37</v>
      </c>
      <c r="X47" s="10" t="str">
        <f>CONCATENATE(Table2[[#This Row],[Member First Name]]," ",Table2[[#This Row],[Member Middle Name]]," ",Table2[[#This Row],[Member Last Name]])</f>
        <v>ANNE PHILOMENA VAZ</v>
      </c>
    </row>
    <row r="48" spans="1:24" ht="15" customHeight="1" x14ac:dyDescent="0.3">
      <c r="A48" s="26" t="s">
        <v>456</v>
      </c>
      <c r="B48" s="11" t="s">
        <v>389</v>
      </c>
      <c r="C48" s="4">
        <v>41766610</v>
      </c>
      <c r="D48" s="4">
        <v>41766616</v>
      </c>
      <c r="E48" s="4" t="s">
        <v>324</v>
      </c>
      <c r="F48" s="12" t="s">
        <v>400</v>
      </c>
      <c r="G48" s="12" t="s">
        <v>401</v>
      </c>
      <c r="H48" s="12" t="s">
        <v>388</v>
      </c>
      <c r="I48" s="12" t="s">
        <v>579</v>
      </c>
      <c r="J48" s="4" t="s">
        <v>41</v>
      </c>
      <c r="K48" s="4">
        <v>24</v>
      </c>
      <c r="L48" s="4" t="s">
        <v>402</v>
      </c>
      <c r="M48" s="4" t="s">
        <v>403</v>
      </c>
      <c r="N48" s="4" t="s">
        <v>33</v>
      </c>
      <c r="O48" s="4" t="s">
        <v>34</v>
      </c>
      <c r="P48" s="4" t="s">
        <v>404</v>
      </c>
      <c r="Q48" s="4" t="s">
        <v>36</v>
      </c>
      <c r="R48" s="8" t="s">
        <v>26</v>
      </c>
      <c r="S48" s="8" t="s">
        <v>26</v>
      </c>
      <c r="T48" s="4" t="s">
        <v>26</v>
      </c>
      <c r="U48" s="4" t="s">
        <v>26</v>
      </c>
      <c r="V48" s="4" t="s">
        <v>26</v>
      </c>
      <c r="W48" s="4"/>
      <c r="X48" s="10" t="str">
        <f>CONCATENATE(Table2[[#This Row],[Member First Name]]," ",Table2[[#This Row],[Member Middle Name]]," ",Table2[[#This Row],[Member Last Name]])</f>
        <v>ANTONETTE FILIPA VAZ</v>
      </c>
    </row>
    <row r="49" spans="1:24" ht="15" customHeight="1" x14ac:dyDescent="0.3">
      <c r="A49" s="26" t="s">
        <v>456</v>
      </c>
      <c r="B49" s="11" t="s">
        <v>389</v>
      </c>
      <c r="C49" s="4">
        <v>41766610</v>
      </c>
      <c r="D49" s="4">
        <v>41766618</v>
      </c>
      <c r="E49" s="4" t="s">
        <v>324</v>
      </c>
      <c r="F49" s="12" t="s">
        <v>405</v>
      </c>
      <c r="G49" s="12" t="s">
        <v>406</v>
      </c>
      <c r="H49" s="12" t="s">
        <v>388</v>
      </c>
      <c r="I49" s="12" t="s">
        <v>580</v>
      </c>
      <c r="J49" s="4" t="s">
        <v>27</v>
      </c>
      <c r="K49" s="4">
        <v>17</v>
      </c>
      <c r="L49" s="4" t="s">
        <v>407</v>
      </c>
      <c r="M49" s="4" t="s">
        <v>403</v>
      </c>
      <c r="N49" s="4" t="s">
        <v>33</v>
      </c>
      <c r="O49" s="4" t="s">
        <v>34</v>
      </c>
      <c r="P49" s="4" t="s">
        <v>408</v>
      </c>
      <c r="Q49" s="4" t="s">
        <v>36</v>
      </c>
      <c r="R49" s="8" t="s">
        <v>26</v>
      </c>
      <c r="S49" s="8" t="s">
        <v>26</v>
      </c>
      <c r="T49" s="4" t="s">
        <v>26</v>
      </c>
      <c r="U49" s="4" t="s">
        <v>26</v>
      </c>
      <c r="V49" s="4" t="s">
        <v>26</v>
      </c>
      <c r="W49" s="4"/>
      <c r="X49" s="10" t="str">
        <f>CONCATENATE(Table2[[#This Row],[Member First Name]]," ",Table2[[#This Row],[Member Middle Name]]," ",Table2[[#This Row],[Member Last Name]])</f>
        <v>SAM ARNULFO VAZ</v>
      </c>
    </row>
    <row r="50" spans="1:24" ht="15" customHeight="1" x14ac:dyDescent="0.3">
      <c r="A50" s="26" t="s">
        <v>458</v>
      </c>
      <c r="B50" s="11" t="s">
        <v>99</v>
      </c>
      <c r="C50" s="4">
        <v>41821886</v>
      </c>
      <c r="D50" s="4">
        <v>41821886</v>
      </c>
      <c r="E50" s="4" t="s">
        <v>28</v>
      </c>
      <c r="F50" s="12" t="s">
        <v>96</v>
      </c>
      <c r="G50" s="12" t="s">
        <v>97</v>
      </c>
      <c r="H50" s="12" t="s">
        <v>98</v>
      </c>
      <c r="I50" s="12" t="s">
        <v>99</v>
      </c>
      <c r="J50" s="4" t="s">
        <v>27</v>
      </c>
      <c r="K50" s="4">
        <v>38</v>
      </c>
      <c r="L50" s="4" t="s">
        <v>100</v>
      </c>
      <c r="M50" s="4" t="s">
        <v>101</v>
      </c>
      <c r="N50" s="4" t="s">
        <v>33</v>
      </c>
      <c r="O50" s="4" t="s">
        <v>34</v>
      </c>
      <c r="P50" s="4" t="s">
        <v>102</v>
      </c>
      <c r="Q50" s="4" t="s">
        <v>36</v>
      </c>
      <c r="R50" s="8" t="s">
        <v>26</v>
      </c>
      <c r="S50" s="8" t="s">
        <v>26</v>
      </c>
      <c r="T50" s="4" t="s">
        <v>103</v>
      </c>
      <c r="U50" s="4" t="s">
        <v>26</v>
      </c>
      <c r="V50" s="4" t="s">
        <v>26</v>
      </c>
      <c r="W50" s="4"/>
      <c r="X50" s="10" t="str">
        <f>CONCATENATE(Table2[[#This Row],[Member First Name]]," ",Table2[[#This Row],[Member Middle Name]]," ",Table2[[#This Row],[Member Last Name]])</f>
        <v>AKRAM FOUD GABR KHADIER</v>
      </c>
    </row>
    <row r="51" spans="1:24" ht="15" customHeight="1" x14ac:dyDescent="0.3">
      <c r="A51" s="11" t="s">
        <v>238</v>
      </c>
      <c r="B51" s="11" t="s">
        <v>237</v>
      </c>
      <c r="C51" s="4">
        <v>41766081</v>
      </c>
      <c r="D51" s="4">
        <v>41766081</v>
      </c>
      <c r="E51" s="4" t="s">
        <v>28</v>
      </c>
      <c r="F51" s="12" t="s">
        <v>234</v>
      </c>
      <c r="G51" s="12" t="s">
        <v>235</v>
      </c>
      <c r="H51" s="12" t="s">
        <v>236</v>
      </c>
      <c r="I51" s="12" t="s">
        <v>237</v>
      </c>
      <c r="J51" s="4" t="s">
        <v>41</v>
      </c>
      <c r="K51" s="4">
        <v>31</v>
      </c>
      <c r="L51" s="4" t="s">
        <v>239</v>
      </c>
      <c r="M51" s="4" t="s">
        <v>45</v>
      </c>
      <c r="N51" s="4" t="s">
        <v>33</v>
      </c>
      <c r="O51" s="4" t="s">
        <v>34</v>
      </c>
      <c r="P51" s="4" t="s">
        <v>240</v>
      </c>
      <c r="Q51" s="4" t="s">
        <v>36</v>
      </c>
      <c r="R51" s="8" t="s">
        <v>26</v>
      </c>
      <c r="S51" s="8" t="s">
        <v>26</v>
      </c>
      <c r="T51" s="4" t="s">
        <v>26</v>
      </c>
      <c r="U51" s="4" t="s">
        <v>26</v>
      </c>
      <c r="V51" s="4" t="s">
        <v>26</v>
      </c>
      <c r="W51" s="4"/>
      <c r="X51" s="10" t="str">
        <f>CONCATENATE(Table2[[#This Row],[Member First Name]]," ",Table2[[#This Row],[Member Middle Name]]," ",Table2[[#This Row],[Member Last Name]])</f>
        <v>VINA VILLAFLOR GONZALES</v>
      </c>
    </row>
    <row r="52" spans="1:24" ht="15" customHeight="1" x14ac:dyDescent="0.3">
      <c r="A52" s="11" t="s">
        <v>113</v>
      </c>
      <c r="B52" s="11" t="s">
        <v>112</v>
      </c>
      <c r="C52" s="4">
        <v>42026889</v>
      </c>
      <c r="D52" s="4">
        <v>42026889</v>
      </c>
      <c r="E52" s="4" t="s">
        <v>28</v>
      </c>
      <c r="F52" s="12" t="s">
        <v>110</v>
      </c>
      <c r="G52" s="12" t="s">
        <v>26</v>
      </c>
      <c r="H52" s="12" t="s">
        <v>111</v>
      </c>
      <c r="I52" s="12" t="s">
        <v>604</v>
      </c>
      <c r="J52" s="4" t="s">
        <v>27</v>
      </c>
      <c r="K52" s="4">
        <v>31</v>
      </c>
      <c r="L52" s="4" t="s">
        <v>114</v>
      </c>
      <c r="M52" s="4" t="s">
        <v>65</v>
      </c>
      <c r="N52" s="4" t="s">
        <v>33</v>
      </c>
      <c r="O52" s="4" t="s">
        <v>34</v>
      </c>
      <c r="P52" s="8"/>
      <c r="Q52" s="4" t="s">
        <v>36</v>
      </c>
      <c r="R52" s="4" t="s">
        <v>116</v>
      </c>
      <c r="S52" s="8" t="s">
        <v>26</v>
      </c>
      <c r="T52" s="4" t="s">
        <v>117</v>
      </c>
      <c r="U52" s="4" t="s">
        <v>26</v>
      </c>
      <c r="V52" s="4" t="s">
        <v>26</v>
      </c>
      <c r="W52" s="4"/>
      <c r="X52" s="10" t="str">
        <f>CONCATENATE(Table2[[#This Row],[Member First Name]]," ",Table2[[#This Row],[Member Middle Name]]," ",Table2[[#This Row],[Member Last Name]])</f>
        <v>NIKHIL PAWAR  DILIP</v>
      </c>
    </row>
    <row r="53" spans="1:24" ht="15" customHeight="1" x14ac:dyDescent="0.3">
      <c r="A53" s="11" t="s">
        <v>53</v>
      </c>
      <c r="B53" s="11" t="s">
        <v>52</v>
      </c>
      <c r="C53" s="4">
        <v>17980924</v>
      </c>
      <c r="D53" s="4">
        <v>17980924</v>
      </c>
      <c r="E53" s="4" t="s">
        <v>28</v>
      </c>
      <c r="F53" s="12" t="s">
        <v>49</v>
      </c>
      <c r="G53" s="12" t="s">
        <v>50</v>
      </c>
      <c r="H53" s="12" t="s">
        <v>51</v>
      </c>
      <c r="I53" s="12" t="s">
        <v>52</v>
      </c>
      <c r="J53" s="4" t="s">
        <v>27</v>
      </c>
      <c r="K53" s="4">
        <v>31</v>
      </c>
      <c r="L53" s="4" t="s">
        <v>54</v>
      </c>
      <c r="M53" s="4" t="s">
        <v>32</v>
      </c>
      <c r="N53" s="4" t="s">
        <v>55</v>
      </c>
      <c r="O53" s="4" t="s">
        <v>34</v>
      </c>
      <c r="P53" s="4" t="s">
        <v>56</v>
      </c>
      <c r="Q53" s="4" t="s">
        <v>36</v>
      </c>
      <c r="R53" s="4" t="s">
        <v>57</v>
      </c>
      <c r="S53" s="8" t="s">
        <v>26</v>
      </c>
      <c r="T53" s="4" t="s">
        <v>58</v>
      </c>
      <c r="U53" s="4" t="s">
        <v>26</v>
      </c>
      <c r="V53" s="4" t="s">
        <v>26</v>
      </c>
      <c r="W53" s="4"/>
      <c r="X53" s="10" t="str">
        <f>CONCATENATE(Table2[[#This Row],[Member First Name]]," ",Table2[[#This Row],[Member Middle Name]]," ",Table2[[#This Row],[Member Last Name]])</f>
        <v>AHMED MAHER MAHER ABDELHAMID</v>
      </c>
    </row>
    <row r="54" spans="1:24" ht="15" customHeight="1" x14ac:dyDescent="0.3">
      <c r="A54" s="11" t="s">
        <v>43</v>
      </c>
      <c r="B54" s="11" t="s">
        <v>42</v>
      </c>
      <c r="C54" s="4">
        <v>42242356</v>
      </c>
      <c r="D54" s="4">
        <v>42242356</v>
      </c>
      <c r="E54" s="4" t="s">
        <v>28</v>
      </c>
      <c r="F54" s="12" t="s">
        <v>38</v>
      </c>
      <c r="G54" s="12" t="s">
        <v>39</v>
      </c>
      <c r="H54" s="12" t="s">
        <v>40</v>
      </c>
      <c r="I54" s="12" t="s">
        <v>42</v>
      </c>
      <c r="J54" s="4" t="s">
        <v>41</v>
      </c>
      <c r="K54" s="4">
        <v>43</v>
      </c>
      <c r="L54" s="4" t="s">
        <v>44</v>
      </c>
      <c r="M54" s="4" t="s">
        <v>45</v>
      </c>
      <c r="N54" s="4" t="s">
        <v>33</v>
      </c>
      <c r="O54" s="4" t="s">
        <v>34</v>
      </c>
      <c r="P54" s="4" t="s">
        <v>46</v>
      </c>
      <c r="Q54" s="4" t="s">
        <v>36</v>
      </c>
      <c r="R54" s="4" t="s">
        <v>47</v>
      </c>
      <c r="S54" s="8" t="s">
        <v>26</v>
      </c>
      <c r="T54" s="4" t="s">
        <v>48</v>
      </c>
      <c r="U54" s="4" t="s">
        <v>26</v>
      </c>
      <c r="V54" s="4" t="s">
        <v>134</v>
      </c>
      <c r="W54" s="4"/>
      <c r="X54" s="10" t="str">
        <f>CONCATENATE(Table2[[#This Row],[Member First Name]]," ",Table2[[#This Row],[Member Middle Name]]," ",Table2[[#This Row],[Member Last Name]])</f>
        <v>KAREN ROSE MAMARAN GALLA</v>
      </c>
    </row>
    <row r="55" spans="1:24" ht="15" customHeight="1" x14ac:dyDescent="0.3">
      <c r="A55" s="11" t="s">
        <v>91</v>
      </c>
      <c r="B55" s="11" t="s">
        <v>90</v>
      </c>
      <c r="C55" s="4">
        <v>41112312</v>
      </c>
      <c r="D55" s="4">
        <v>41112312</v>
      </c>
      <c r="E55" s="4" t="s">
        <v>28</v>
      </c>
      <c r="F55" s="12" t="s">
        <v>87</v>
      </c>
      <c r="G55" s="12" t="s">
        <v>88</v>
      </c>
      <c r="H55" s="12" t="s">
        <v>89</v>
      </c>
      <c r="I55" s="12" t="s">
        <v>90</v>
      </c>
      <c r="J55" s="4" t="s">
        <v>41</v>
      </c>
      <c r="K55" s="4">
        <v>35</v>
      </c>
      <c r="L55" s="4" t="s">
        <v>92</v>
      </c>
      <c r="M55" s="4" t="s">
        <v>32</v>
      </c>
      <c r="N55" s="4" t="s">
        <v>33</v>
      </c>
      <c r="O55" s="4" t="s">
        <v>34</v>
      </c>
      <c r="P55" s="4" t="s">
        <v>93</v>
      </c>
      <c r="Q55" s="4" t="s">
        <v>36</v>
      </c>
      <c r="R55" s="4" t="s">
        <v>94</v>
      </c>
      <c r="S55" s="8" t="s">
        <v>26</v>
      </c>
      <c r="T55" s="4" t="s">
        <v>95</v>
      </c>
      <c r="U55" s="4" t="s">
        <v>26</v>
      </c>
      <c r="V55" s="4" t="s">
        <v>321</v>
      </c>
      <c r="W55" s="4"/>
      <c r="X55" s="10" t="str">
        <f>CONCATENATE(Table2[[#This Row],[Member First Name]]," ",Table2[[#This Row],[Member Middle Name]]," ",Table2[[#This Row],[Member Last Name]])</f>
        <v>ESRAA ESSAMELDIN FAHMY</v>
      </c>
    </row>
    <row r="56" spans="1:24" ht="15" customHeight="1" x14ac:dyDescent="0.3">
      <c r="A56" s="11" t="s">
        <v>63</v>
      </c>
      <c r="B56" s="11" t="s">
        <v>62</v>
      </c>
      <c r="C56" s="4">
        <v>42568553</v>
      </c>
      <c r="D56" s="4">
        <v>42568553</v>
      </c>
      <c r="E56" s="4" t="s">
        <v>28</v>
      </c>
      <c r="F56" s="12" t="s">
        <v>59</v>
      </c>
      <c r="G56" s="12" t="s">
        <v>60</v>
      </c>
      <c r="H56" s="12" t="s">
        <v>61</v>
      </c>
      <c r="I56" s="12" t="s">
        <v>62</v>
      </c>
      <c r="J56" s="4" t="s">
        <v>27</v>
      </c>
      <c r="K56" s="4">
        <v>46</v>
      </c>
      <c r="L56" s="4" t="s">
        <v>64</v>
      </c>
      <c r="M56" s="4" t="s">
        <v>65</v>
      </c>
      <c r="N56" s="4" t="s">
        <v>55</v>
      </c>
      <c r="O56" s="4" t="s">
        <v>34</v>
      </c>
      <c r="P56" s="4" t="s">
        <v>66</v>
      </c>
      <c r="Q56" s="4" t="s">
        <v>36</v>
      </c>
      <c r="R56" s="4" t="s">
        <v>67</v>
      </c>
      <c r="S56" s="8" t="s">
        <v>26</v>
      </c>
      <c r="T56" s="4" t="s">
        <v>68</v>
      </c>
      <c r="U56" s="4" t="s">
        <v>26</v>
      </c>
      <c r="V56" s="4" t="s">
        <v>365</v>
      </c>
      <c r="W56" s="4"/>
      <c r="X56" s="10" t="str">
        <f>CONCATENATE(Table2[[#This Row],[Member First Name]]," ",Table2[[#This Row],[Member Middle Name]]," ",Table2[[#This Row],[Member Last Name]])</f>
        <v>VIJAYAKUMAR PANGICHAN KUMARAN</v>
      </c>
    </row>
    <row r="57" spans="1:24" ht="15" customHeight="1" x14ac:dyDescent="0.3">
      <c r="A57" s="11" t="s">
        <v>73</v>
      </c>
      <c r="B57" s="11" t="s">
        <v>72</v>
      </c>
      <c r="C57" s="4">
        <v>42568552</v>
      </c>
      <c r="D57" s="4">
        <v>42568552</v>
      </c>
      <c r="E57" s="4" t="s">
        <v>28</v>
      </c>
      <c r="F57" s="12" t="s">
        <v>69</v>
      </c>
      <c r="G57" s="12" t="s">
        <v>70</v>
      </c>
      <c r="H57" s="12" t="s">
        <v>71</v>
      </c>
      <c r="I57" s="12" t="s">
        <v>72</v>
      </c>
      <c r="J57" s="4" t="s">
        <v>27</v>
      </c>
      <c r="K57" s="4">
        <v>54</v>
      </c>
      <c r="L57" s="4" t="s">
        <v>74</v>
      </c>
      <c r="M57" s="4" t="s">
        <v>65</v>
      </c>
      <c r="N57" s="4" t="s">
        <v>55</v>
      </c>
      <c r="O57" s="4" t="s">
        <v>34</v>
      </c>
      <c r="P57" s="4" t="s">
        <v>75</v>
      </c>
      <c r="Q57" s="4" t="s">
        <v>36</v>
      </c>
      <c r="R57" s="4" t="s">
        <v>76</v>
      </c>
      <c r="S57" s="8" t="s">
        <v>26</v>
      </c>
      <c r="T57" s="4" t="s">
        <v>77</v>
      </c>
      <c r="U57" s="4" t="s">
        <v>26</v>
      </c>
      <c r="V57" s="4" t="s">
        <v>371</v>
      </c>
      <c r="W57" s="4"/>
      <c r="X57" s="10" t="str">
        <f>CONCATENATE(Table2[[#This Row],[Member First Name]]," ",Table2[[#This Row],[Member Middle Name]]," ",Table2[[#This Row],[Member Last Name]])</f>
        <v>VARUGHESE MALERIL KURIAKOSE</v>
      </c>
    </row>
    <row r="58" spans="1:24" ht="15" customHeight="1" x14ac:dyDescent="0.3">
      <c r="A58" s="11" t="s">
        <v>82</v>
      </c>
      <c r="B58" s="11" t="s">
        <v>81</v>
      </c>
      <c r="C58" s="4">
        <v>42501466</v>
      </c>
      <c r="D58" s="4">
        <v>42501466</v>
      </c>
      <c r="E58" s="4" t="s">
        <v>28</v>
      </c>
      <c r="F58" s="12" t="s">
        <v>78</v>
      </c>
      <c r="G58" s="12" t="s">
        <v>79</v>
      </c>
      <c r="H58" s="12" t="s">
        <v>80</v>
      </c>
      <c r="I58" s="12" t="s">
        <v>81</v>
      </c>
      <c r="J58" s="4" t="s">
        <v>27</v>
      </c>
      <c r="K58" s="4">
        <v>52</v>
      </c>
      <c r="L58" s="4" t="s">
        <v>83</v>
      </c>
      <c r="M58" s="4" t="s">
        <v>65</v>
      </c>
      <c r="N58" s="4" t="s">
        <v>55</v>
      </c>
      <c r="O58" s="4" t="s">
        <v>34</v>
      </c>
      <c r="P58" s="4" t="s">
        <v>84</v>
      </c>
      <c r="Q58" s="4" t="s">
        <v>36</v>
      </c>
      <c r="R58" s="4" t="s">
        <v>85</v>
      </c>
      <c r="S58" s="8" t="s">
        <v>26</v>
      </c>
      <c r="T58" s="4" t="s">
        <v>86</v>
      </c>
      <c r="U58" s="4" t="s">
        <v>26</v>
      </c>
      <c r="V58" s="4" t="s">
        <v>26</v>
      </c>
      <c r="W58" s="4"/>
      <c r="X58" s="10" t="str">
        <f>CONCATENATE(Table2[[#This Row],[Member First Name]]," ",Table2[[#This Row],[Member Middle Name]]," ",Table2[[#This Row],[Member Last Name]])</f>
        <v>ZAHID AKTHAR ABDUL WAHEED</v>
      </c>
    </row>
    <row r="59" spans="1:24" ht="15" customHeight="1" x14ac:dyDescent="0.3">
      <c r="A59" s="11" t="s">
        <v>82</v>
      </c>
      <c r="B59" s="11" t="s">
        <v>81</v>
      </c>
      <c r="C59" s="4">
        <v>42501466</v>
      </c>
      <c r="D59" s="4">
        <v>42568554</v>
      </c>
      <c r="E59" s="4" t="s">
        <v>264</v>
      </c>
      <c r="F59" s="12" t="s">
        <v>278</v>
      </c>
      <c r="G59" s="12" t="s">
        <v>279</v>
      </c>
      <c r="H59" s="12" t="s">
        <v>280</v>
      </c>
      <c r="I59" s="12" t="s">
        <v>614</v>
      </c>
      <c r="J59" s="4" t="s">
        <v>41</v>
      </c>
      <c r="K59" s="4">
        <v>48</v>
      </c>
      <c r="L59" s="4" t="s">
        <v>281</v>
      </c>
      <c r="M59" s="4" t="s">
        <v>65</v>
      </c>
      <c r="N59" s="4" t="s">
        <v>55</v>
      </c>
      <c r="O59" s="4" t="s">
        <v>34</v>
      </c>
      <c r="P59" s="4" t="s">
        <v>282</v>
      </c>
      <c r="Q59" s="4" t="s">
        <v>36</v>
      </c>
      <c r="R59" s="4" t="s">
        <v>282</v>
      </c>
      <c r="S59" s="8" t="s">
        <v>26</v>
      </c>
      <c r="T59" s="4" t="s">
        <v>283</v>
      </c>
      <c r="U59" s="4" t="s">
        <v>26</v>
      </c>
      <c r="V59" s="4" t="s">
        <v>26</v>
      </c>
      <c r="W59" s="4"/>
      <c r="X59" s="10" t="str">
        <f>CONCATENATE(Table2[[#This Row],[Member First Name]]," ",Table2[[#This Row],[Member Middle Name]]," ",Table2[[#This Row],[Member Last Name]])</f>
        <v>SANOBAR JAHAN ZAHID AKHTAR SHAIKH</v>
      </c>
    </row>
    <row r="60" spans="1:24" ht="15" customHeight="1" x14ac:dyDescent="0.3">
      <c r="A60" s="11" t="s">
        <v>82</v>
      </c>
      <c r="B60" s="11" t="s">
        <v>81</v>
      </c>
      <c r="C60" s="4">
        <v>42501466</v>
      </c>
      <c r="D60" s="4">
        <v>42568555</v>
      </c>
      <c r="E60" s="4" t="s">
        <v>324</v>
      </c>
      <c r="F60" s="12" t="s">
        <v>199</v>
      </c>
      <c r="G60" s="12" t="s">
        <v>382</v>
      </c>
      <c r="H60" s="12" t="s">
        <v>280</v>
      </c>
      <c r="I60" s="12" t="s">
        <v>615</v>
      </c>
      <c r="J60" s="4" t="s">
        <v>27</v>
      </c>
      <c r="K60" s="4">
        <v>17</v>
      </c>
      <c r="L60" s="4" t="s">
        <v>383</v>
      </c>
      <c r="M60" s="4" t="s">
        <v>65</v>
      </c>
      <c r="N60" s="4" t="s">
        <v>33</v>
      </c>
      <c r="O60" s="4" t="s">
        <v>34</v>
      </c>
      <c r="P60" s="4" t="s">
        <v>384</v>
      </c>
      <c r="Q60" s="4" t="s">
        <v>36</v>
      </c>
      <c r="R60" s="4" t="s">
        <v>384</v>
      </c>
      <c r="S60" s="8" t="s">
        <v>26</v>
      </c>
      <c r="T60" s="4" t="s">
        <v>385</v>
      </c>
      <c r="U60" s="4" t="s">
        <v>26</v>
      </c>
      <c r="V60" s="4" t="s">
        <v>26</v>
      </c>
      <c r="W60" s="4"/>
      <c r="X60" s="10" t="str">
        <f>CONCATENATE(Table2[[#This Row],[Member First Name]]," ",Table2[[#This Row],[Member Middle Name]]," ",Table2[[#This Row],[Member Last Name]])</f>
        <v>MOHAMMED ZAMAN ZAHID AKHTAR SHAIKH</v>
      </c>
    </row>
    <row r="61" spans="1:24" ht="15" customHeight="1" x14ac:dyDescent="0.3">
      <c r="A61" s="11" t="s">
        <v>244</v>
      </c>
      <c r="B61" s="11" t="s">
        <v>243</v>
      </c>
      <c r="C61" s="4">
        <v>41766082</v>
      </c>
      <c r="D61" s="4">
        <v>41766082</v>
      </c>
      <c r="E61" s="4" t="s">
        <v>28</v>
      </c>
      <c r="F61" s="12" t="s">
        <v>241</v>
      </c>
      <c r="G61" s="12" t="s">
        <v>199</v>
      </c>
      <c r="H61" s="12" t="s">
        <v>242</v>
      </c>
      <c r="I61" s="12" t="s">
        <v>243</v>
      </c>
      <c r="J61" s="4" t="s">
        <v>41</v>
      </c>
      <c r="K61" s="4">
        <v>25</v>
      </c>
      <c r="L61" s="4" t="s">
        <v>245</v>
      </c>
      <c r="M61" s="4" t="s">
        <v>32</v>
      </c>
      <c r="N61" s="4" t="s">
        <v>33</v>
      </c>
      <c r="O61" s="4" t="s">
        <v>34</v>
      </c>
      <c r="P61" s="4" t="s">
        <v>246</v>
      </c>
      <c r="Q61" s="4" t="s">
        <v>36</v>
      </c>
      <c r="R61" s="8" t="s">
        <v>26</v>
      </c>
      <c r="S61" s="8" t="s">
        <v>26</v>
      </c>
      <c r="T61" s="4" t="s">
        <v>26</v>
      </c>
      <c r="U61" s="4" t="s">
        <v>26</v>
      </c>
      <c r="V61" s="4" t="s">
        <v>26</v>
      </c>
      <c r="W61" s="4"/>
      <c r="X61" s="10" t="str">
        <f>CONCATENATE(Table2[[#This Row],[Member First Name]]," ",Table2[[#This Row],[Member Middle Name]]," ",Table2[[#This Row],[Member Last Name]])</f>
        <v>NADA MOHAMMED ALRABEY</v>
      </c>
    </row>
    <row r="62" spans="1:24" ht="15" customHeight="1" x14ac:dyDescent="0.3">
      <c r="A62" s="11" t="s">
        <v>250</v>
      </c>
      <c r="B62" s="11" t="s">
        <v>249</v>
      </c>
      <c r="C62" s="4">
        <v>41766083</v>
      </c>
      <c r="D62" s="4">
        <v>41766083</v>
      </c>
      <c r="E62" s="4" t="s">
        <v>28</v>
      </c>
      <c r="F62" s="12" t="s">
        <v>247</v>
      </c>
      <c r="G62" s="12" t="s">
        <v>166</v>
      </c>
      <c r="H62" s="12" t="s">
        <v>248</v>
      </c>
      <c r="I62" s="12" t="s">
        <v>249</v>
      </c>
      <c r="J62" s="4" t="s">
        <v>27</v>
      </c>
      <c r="K62" s="4">
        <v>30</v>
      </c>
      <c r="L62" s="4" t="s">
        <v>251</v>
      </c>
      <c r="M62" s="4" t="s">
        <v>252</v>
      </c>
      <c r="N62" s="4" t="s">
        <v>33</v>
      </c>
      <c r="O62" s="4" t="s">
        <v>34</v>
      </c>
      <c r="P62" s="4" t="s">
        <v>253</v>
      </c>
      <c r="Q62" s="4" t="s">
        <v>36</v>
      </c>
      <c r="R62" s="8" t="s">
        <v>26</v>
      </c>
      <c r="S62" s="8" t="s">
        <v>26</v>
      </c>
      <c r="T62" s="4" t="s">
        <v>26</v>
      </c>
      <c r="U62" s="4" t="s">
        <v>26</v>
      </c>
      <c r="V62" s="4" t="s">
        <v>26</v>
      </c>
      <c r="W62" s="4"/>
      <c r="X62" s="10" t="str">
        <f>CONCATENATE(Table2[[#This Row],[Member First Name]]," ",Table2[[#This Row],[Member Middle Name]]," ",Table2[[#This Row],[Member Last Name]])</f>
        <v>HUSSEIN ALI MLHEM</v>
      </c>
    </row>
    <row r="63" spans="1:24" ht="15" customHeight="1" x14ac:dyDescent="0.3">
      <c r="A63" s="17" t="s">
        <v>250</v>
      </c>
      <c r="B63" s="17" t="s">
        <v>249</v>
      </c>
      <c r="C63" s="18">
        <v>41766083</v>
      </c>
      <c r="D63" s="18">
        <v>43215486</v>
      </c>
      <c r="E63" s="18" t="s">
        <v>264</v>
      </c>
      <c r="F63" s="19" t="s">
        <v>272</v>
      </c>
      <c r="G63" s="19" t="s">
        <v>273</v>
      </c>
      <c r="H63" s="19" t="s">
        <v>274</v>
      </c>
      <c r="I63" s="12" t="s">
        <v>590</v>
      </c>
      <c r="J63" s="18" t="s">
        <v>41</v>
      </c>
      <c r="K63" s="18">
        <v>28</v>
      </c>
      <c r="L63" s="18" t="s">
        <v>275</v>
      </c>
      <c r="M63" s="18" t="s">
        <v>252</v>
      </c>
      <c r="N63" s="18" t="s">
        <v>55</v>
      </c>
      <c r="O63" s="18" t="s">
        <v>115</v>
      </c>
      <c r="P63" s="28"/>
      <c r="Q63" s="18" t="s">
        <v>36</v>
      </c>
      <c r="R63" s="18" t="s">
        <v>276</v>
      </c>
      <c r="S63" s="20" t="s">
        <v>26</v>
      </c>
      <c r="T63" s="18" t="s">
        <v>277</v>
      </c>
      <c r="U63" s="18" t="s">
        <v>26</v>
      </c>
      <c r="V63" s="4" t="s">
        <v>26</v>
      </c>
      <c r="W63" s="4"/>
      <c r="X63" s="10" t="str">
        <f>CONCATENATE(Table2[[#This Row],[Member First Name]]," ",Table2[[#This Row],[Member Middle Name]]," ",Table2[[#This Row],[Member Last Name]])</f>
        <v>MARAM GAMAL IBRAHEEM</v>
      </c>
    </row>
    <row r="64" spans="1:24" ht="15" customHeight="1" x14ac:dyDescent="0.3"/>
  </sheetData>
  <dataValidations count="6">
    <dataValidation type="list" allowBlank="1" showInputMessage="1" showErrorMessage="1" sqref="E2:E63 M2:N63 J2:J63" xr:uid="{5ADE9414-87EC-4FFC-B70D-1B3AC96158C0}"/>
    <dataValidation type="list" allowBlank="1" showInputMessage="1" showErrorMessage="1" sqref="M2:M63" xr:uid="{3101A646-1C79-4291-9B0C-77C7B11F46C2}">
      <formula1>Nationality</formula1>
    </dataValidation>
    <dataValidation type="list" allowBlank="1" showInputMessage="1" showErrorMessage="1" sqref="J2:J63" xr:uid="{AEB832E1-CAB7-43DF-976E-BFF1F70C0BA5}">
      <formula1>Gender</formula1>
    </dataValidation>
    <dataValidation type="list" allowBlank="1" showInputMessage="1" showErrorMessage="1" sqref="E2:E63" xr:uid="{3DED2499-9FEA-435D-B1EE-5B3EDD40B40E}">
      <formula1>Relation</formula1>
    </dataValidation>
    <dataValidation type="list" allowBlank="1" showInputMessage="1" showErrorMessage="1" sqref="O2:O1048576" xr:uid="{F4C6371B-C43B-4268-A70B-893E5CA0BA97}">
      <formula1>EIDType</formula1>
    </dataValidation>
    <dataValidation type="list" allowBlank="1" showInputMessage="1" showErrorMessage="1" sqref="Q2:Q1048576" xr:uid="{7B67D95B-603C-4F17-B6C8-908FE029F8AD}">
      <formula1>PlaceOfVisaList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A6CD-CB08-46AA-AA56-3A38F841DC0A}">
  <dimension ref="A1:E62"/>
  <sheetViews>
    <sheetView workbookViewId="0">
      <selection activeCell="C8" sqref="C8"/>
    </sheetView>
  </sheetViews>
  <sheetFormatPr defaultRowHeight="14.5" x14ac:dyDescent="0.35"/>
  <cols>
    <col min="1" max="1" width="11.6328125" bestFit="1" customWidth="1"/>
    <col min="2" max="2" width="39" bestFit="1" customWidth="1"/>
    <col min="3" max="3" width="31.1796875" bestFit="1" customWidth="1"/>
    <col min="4" max="4" width="32.08984375" bestFit="1" customWidth="1"/>
    <col min="5" max="5" width="19.1796875" customWidth="1"/>
  </cols>
  <sheetData>
    <row r="1" spans="1:5" ht="29" customHeight="1" x14ac:dyDescent="0.35">
      <c r="A1" s="1" t="s">
        <v>410</v>
      </c>
      <c r="B1" s="1" t="s">
        <v>409</v>
      </c>
      <c r="C1" s="1" t="s">
        <v>505</v>
      </c>
      <c r="D1" s="1" t="s">
        <v>10</v>
      </c>
      <c r="E1" s="1" t="s">
        <v>506</v>
      </c>
    </row>
    <row r="2" spans="1:5" x14ac:dyDescent="0.35">
      <c r="A2" s="2">
        <v>0</v>
      </c>
      <c r="B2" s="3" t="s">
        <v>503</v>
      </c>
      <c r="C2" s="3" t="s">
        <v>546</v>
      </c>
      <c r="D2" s="3" t="s">
        <v>525</v>
      </c>
      <c r="E2" s="3" t="s">
        <v>519</v>
      </c>
    </row>
    <row r="3" spans="1:5" x14ac:dyDescent="0.35">
      <c r="A3" s="2" t="s">
        <v>443</v>
      </c>
      <c r="B3" s="2" t="s">
        <v>442</v>
      </c>
      <c r="C3" s="2" t="s">
        <v>537</v>
      </c>
      <c r="D3" s="2" t="s">
        <v>530</v>
      </c>
      <c r="E3" s="2" t="s">
        <v>519</v>
      </c>
    </row>
    <row r="4" spans="1:5" x14ac:dyDescent="0.35">
      <c r="A4" s="2">
        <v>0</v>
      </c>
      <c r="B4" s="3" t="s">
        <v>504</v>
      </c>
      <c r="C4" s="3" t="s">
        <v>546</v>
      </c>
      <c r="D4" s="3" t="s">
        <v>525</v>
      </c>
      <c r="E4" s="3" t="s">
        <v>519</v>
      </c>
    </row>
    <row r="5" spans="1:5" x14ac:dyDescent="0.35">
      <c r="A5" s="2" t="s">
        <v>500</v>
      </c>
      <c r="B5" s="2" t="s">
        <v>499</v>
      </c>
      <c r="C5" s="2" t="s">
        <v>556</v>
      </c>
      <c r="D5" s="2" t="s">
        <v>525</v>
      </c>
      <c r="E5" s="2" t="s">
        <v>519</v>
      </c>
    </row>
    <row r="6" spans="1:5" x14ac:dyDescent="0.35">
      <c r="A6" s="2" t="s">
        <v>53</v>
      </c>
      <c r="B6" s="2" t="s">
        <v>467</v>
      </c>
      <c r="C6" s="2" t="s">
        <v>554</v>
      </c>
      <c r="D6" s="2" t="s">
        <v>555</v>
      </c>
      <c r="E6" s="2" t="s">
        <v>551</v>
      </c>
    </row>
    <row r="7" spans="1:5" x14ac:dyDescent="0.35">
      <c r="A7" s="2" t="s">
        <v>458</v>
      </c>
      <c r="B7" s="2" t="s">
        <v>457</v>
      </c>
      <c r="C7" s="2" t="s">
        <v>549</v>
      </c>
      <c r="D7" s="2" t="s">
        <v>508</v>
      </c>
      <c r="E7" s="2" t="s">
        <v>519</v>
      </c>
    </row>
    <row r="8" spans="1:5" x14ac:dyDescent="0.35">
      <c r="A8" s="2" t="s">
        <v>456</v>
      </c>
      <c r="B8" s="2" t="s">
        <v>455</v>
      </c>
      <c r="C8" s="2" t="s">
        <v>548</v>
      </c>
      <c r="D8" s="2" t="s">
        <v>528</v>
      </c>
      <c r="E8" s="2" t="s">
        <v>509</v>
      </c>
    </row>
    <row r="9" spans="1:5" x14ac:dyDescent="0.35">
      <c r="A9" s="2" t="s">
        <v>208</v>
      </c>
      <c r="B9" s="2" t="s">
        <v>445</v>
      </c>
      <c r="C9" s="2" t="s">
        <v>538</v>
      </c>
      <c r="D9" s="2" t="s">
        <v>514</v>
      </c>
      <c r="E9" s="2" t="s">
        <v>509</v>
      </c>
    </row>
    <row r="10" spans="1:5" x14ac:dyDescent="0.35">
      <c r="A10" s="2" t="s">
        <v>464</v>
      </c>
      <c r="B10" s="2" t="s">
        <v>463</v>
      </c>
      <c r="C10" s="2" t="s">
        <v>552</v>
      </c>
      <c r="D10" s="2" t="s">
        <v>528</v>
      </c>
      <c r="E10" s="2" t="s">
        <v>509</v>
      </c>
    </row>
    <row r="11" spans="1:5" x14ac:dyDescent="0.35">
      <c r="A11" s="2" t="s">
        <v>502</v>
      </c>
      <c r="B11" s="2" t="s">
        <v>501</v>
      </c>
      <c r="C11" s="2" t="s">
        <v>559</v>
      </c>
      <c r="D11" s="2" t="s">
        <v>514</v>
      </c>
      <c r="E11" s="2" t="s">
        <v>509</v>
      </c>
    </row>
    <row r="12" spans="1:5" x14ac:dyDescent="0.35">
      <c r="A12" s="2" t="s">
        <v>152</v>
      </c>
      <c r="B12" s="2" t="s">
        <v>414</v>
      </c>
      <c r="C12" s="2" t="s">
        <v>513</v>
      </c>
      <c r="D12" s="2" t="s">
        <v>514</v>
      </c>
      <c r="E12" s="2" t="s">
        <v>509</v>
      </c>
    </row>
    <row r="13" spans="1:5" x14ac:dyDescent="0.35">
      <c r="A13" s="2" t="s">
        <v>428</v>
      </c>
      <c r="B13" s="2" t="s">
        <v>427</v>
      </c>
      <c r="C13" s="2" t="s">
        <v>529</v>
      </c>
      <c r="D13" s="2" t="s">
        <v>530</v>
      </c>
      <c r="E13" s="2" t="s">
        <v>519</v>
      </c>
    </row>
    <row r="14" spans="1:5" x14ac:dyDescent="0.35">
      <c r="A14" s="2" t="s">
        <v>439</v>
      </c>
      <c r="B14" s="2" t="s">
        <v>438</v>
      </c>
      <c r="C14" s="2" t="s">
        <v>535</v>
      </c>
      <c r="D14" s="2" t="s">
        <v>530</v>
      </c>
      <c r="E14" s="2" t="s">
        <v>519</v>
      </c>
    </row>
    <row r="15" spans="1:5" x14ac:dyDescent="0.35">
      <c r="A15" s="2" t="s">
        <v>202</v>
      </c>
      <c r="B15" s="2" t="s">
        <v>444</v>
      </c>
      <c r="C15" s="2" t="s">
        <v>523</v>
      </c>
      <c r="D15" s="2" t="s">
        <v>508</v>
      </c>
      <c r="E15" s="2" t="s">
        <v>519</v>
      </c>
    </row>
    <row r="16" spans="1:5" x14ac:dyDescent="0.35">
      <c r="A16" s="2" t="s">
        <v>461</v>
      </c>
      <c r="B16" s="2" t="s">
        <v>460</v>
      </c>
      <c r="C16" s="2" t="s">
        <v>523</v>
      </c>
      <c r="D16" s="2" t="s">
        <v>508</v>
      </c>
      <c r="E16" s="2" t="s">
        <v>519</v>
      </c>
    </row>
    <row r="17" spans="1:5" x14ac:dyDescent="0.35">
      <c r="A17" s="2" t="s">
        <v>30</v>
      </c>
      <c r="B17" s="2" t="s">
        <v>421</v>
      </c>
      <c r="C17" s="2" t="s">
        <v>524</v>
      </c>
      <c r="D17" s="2" t="s">
        <v>525</v>
      </c>
      <c r="E17" s="2" t="s">
        <v>519</v>
      </c>
    </row>
    <row r="18" spans="1:5" x14ac:dyDescent="0.35">
      <c r="A18" s="2" t="s">
        <v>214</v>
      </c>
      <c r="B18" s="2" t="s">
        <v>452</v>
      </c>
      <c r="C18" s="2" t="s">
        <v>544</v>
      </c>
      <c r="D18" s="2" t="s">
        <v>545</v>
      </c>
      <c r="E18" s="2" t="s">
        <v>509</v>
      </c>
    </row>
    <row r="19" spans="1:5" x14ac:dyDescent="0.35">
      <c r="A19" s="2" t="s">
        <v>481</v>
      </c>
      <c r="B19" s="2" t="s">
        <v>480</v>
      </c>
      <c r="C19" s="2" t="s">
        <v>561</v>
      </c>
      <c r="D19" s="2" t="s">
        <v>525</v>
      </c>
      <c r="E19" s="2" t="s">
        <v>519</v>
      </c>
    </row>
    <row r="20" spans="1:5" x14ac:dyDescent="0.35">
      <c r="A20" s="2" t="s">
        <v>494</v>
      </c>
      <c r="B20" s="3" t="s">
        <v>493</v>
      </c>
      <c r="C20" s="3" t="s">
        <v>561</v>
      </c>
      <c r="D20" s="3" t="s">
        <v>525</v>
      </c>
      <c r="E20" s="3" t="s">
        <v>519</v>
      </c>
    </row>
    <row r="21" spans="1:5" x14ac:dyDescent="0.35">
      <c r="A21" s="2" t="s">
        <v>176</v>
      </c>
      <c r="B21" s="2" t="s">
        <v>417</v>
      </c>
      <c r="C21" s="2" t="s">
        <v>520</v>
      </c>
      <c r="D21" s="2" t="s">
        <v>518</v>
      </c>
      <c r="E21" s="2" t="s">
        <v>519</v>
      </c>
    </row>
    <row r="22" spans="1:5" x14ac:dyDescent="0.35">
      <c r="A22" s="2" t="s">
        <v>91</v>
      </c>
      <c r="B22" s="2" t="s">
        <v>475</v>
      </c>
      <c r="C22" s="2" t="s">
        <v>560</v>
      </c>
      <c r="D22" s="2" t="s">
        <v>514</v>
      </c>
      <c r="E22" s="2" t="s">
        <v>509</v>
      </c>
    </row>
    <row r="23" spans="1:5" x14ac:dyDescent="0.35">
      <c r="A23" s="2" t="s">
        <v>483</v>
      </c>
      <c r="B23" s="2" t="s">
        <v>482</v>
      </c>
      <c r="C23" s="2" t="s">
        <v>546</v>
      </c>
      <c r="D23" s="2" t="s">
        <v>525</v>
      </c>
      <c r="E23" s="2" t="s">
        <v>519</v>
      </c>
    </row>
    <row r="24" spans="1:5" x14ac:dyDescent="0.35">
      <c r="A24" s="2" t="s">
        <v>490</v>
      </c>
      <c r="B24" s="2" t="s">
        <v>489</v>
      </c>
      <c r="C24" s="2" t="s">
        <v>559</v>
      </c>
      <c r="D24" s="2" t="s">
        <v>543</v>
      </c>
      <c r="E24" s="2" t="s">
        <v>509</v>
      </c>
    </row>
    <row r="25" spans="1:5" x14ac:dyDescent="0.35">
      <c r="A25" s="2" t="s">
        <v>258</v>
      </c>
      <c r="B25" s="2" t="s">
        <v>451</v>
      </c>
      <c r="C25" s="2" t="s">
        <v>542</v>
      </c>
      <c r="D25" s="2" t="s">
        <v>543</v>
      </c>
      <c r="E25" s="2" t="s">
        <v>509</v>
      </c>
    </row>
    <row r="26" spans="1:5" x14ac:dyDescent="0.35">
      <c r="A26" s="2" t="s">
        <v>433</v>
      </c>
      <c r="B26" s="2" t="s">
        <v>432</v>
      </c>
      <c r="C26" s="2" t="s">
        <v>533</v>
      </c>
      <c r="D26" s="2" t="s">
        <v>530</v>
      </c>
      <c r="E26" s="2" t="s">
        <v>519</v>
      </c>
    </row>
    <row r="27" spans="1:5" x14ac:dyDescent="0.35">
      <c r="A27" s="2" t="s">
        <v>228</v>
      </c>
      <c r="B27" s="2" t="s">
        <v>454</v>
      </c>
      <c r="C27" s="2" t="s">
        <v>547</v>
      </c>
      <c r="D27" s="2" t="s">
        <v>525</v>
      </c>
      <c r="E27" s="2" t="s">
        <v>519</v>
      </c>
    </row>
    <row r="28" spans="1:5" x14ac:dyDescent="0.35">
      <c r="A28" s="2" t="s">
        <v>448</v>
      </c>
      <c r="B28" s="2" t="s">
        <v>447</v>
      </c>
      <c r="C28" s="2" t="s">
        <v>540</v>
      </c>
      <c r="D28" s="2" t="s">
        <v>514</v>
      </c>
      <c r="E28" s="2" t="s">
        <v>509</v>
      </c>
    </row>
    <row r="29" spans="1:5" x14ac:dyDescent="0.35">
      <c r="A29" s="2" t="s">
        <v>194</v>
      </c>
      <c r="B29" s="2" t="s">
        <v>431</v>
      </c>
      <c r="C29" s="2" t="s">
        <v>532</v>
      </c>
      <c r="D29" s="2" t="s">
        <v>508</v>
      </c>
      <c r="E29" s="2" t="s">
        <v>519</v>
      </c>
    </row>
    <row r="30" spans="1:5" x14ac:dyDescent="0.35">
      <c r="A30" s="2" t="s">
        <v>145</v>
      </c>
      <c r="B30" s="2" t="s">
        <v>413</v>
      </c>
      <c r="C30" s="2" t="s">
        <v>512</v>
      </c>
      <c r="D30" s="2" t="s">
        <v>508</v>
      </c>
      <c r="E30" s="2" t="s">
        <v>509</v>
      </c>
    </row>
    <row r="31" spans="1:5" x14ac:dyDescent="0.35">
      <c r="A31" s="2" t="s">
        <v>128</v>
      </c>
      <c r="B31" s="2" t="s">
        <v>411</v>
      </c>
      <c r="C31" s="2" t="s">
        <v>507</v>
      </c>
      <c r="D31" s="2" t="s">
        <v>508</v>
      </c>
      <c r="E31" s="2" t="s">
        <v>509</v>
      </c>
    </row>
    <row r="32" spans="1:5" x14ac:dyDescent="0.35">
      <c r="A32" s="2" t="s">
        <v>43</v>
      </c>
      <c r="B32" s="2" t="s">
        <v>470</v>
      </c>
      <c r="C32" s="2" t="s">
        <v>557</v>
      </c>
      <c r="D32" s="2" t="s">
        <v>525</v>
      </c>
      <c r="E32" s="2" t="s">
        <v>519</v>
      </c>
    </row>
    <row r="33" spans="1:5" x14ac:dyDescent="0.35">
      <c r="A33" s="2" t="s">
        <v>182</v>
      </c>
      <c r="B33" s="2" t="s">
        <v>418</v>
      </c>
      <c r="C33" s="2" t="s">
        <v>521</v>
      </c>
      <c r="D33" s="2" t="s">
        <v>522</v>
      </c>
      <c r="E33" s="2" t="s">
        <v>519</v>
      </c>
    </row>
    <row r="34" spans="1:5" x14ac:dyDescent="0.35">
      <c r="A34" s="2" t="s">
        <v>474</v>
      </c>
      <c r="B34" s="2" t="s">
        <v>473</v>
      </c>
      <c r="C34" s="2" t="s">
        <v>559</v>
      </c>
      <c r="D34" s="2" t="s">
        <v>525</v>
      </c>
      <c r="E34" s="2" t="s">
        <v>519</v>
      </c>
    </row>
    <row r="35" spans="1:5" x14ac:dyDescent="0.35">
      <c r="A35" s="2" t="s">
        <v>492</v>
      </c>
      <c r="B35" s="2" t="s">
        <v>491</v>
      </c>
      <c r="C35" s="2" t="s">
        <v>566</v>
      </c>
      <c r="D35" s="2" t="s">
        <v>525</v>
      </c>
      <c r="E35" s="2" t="s">
        <v>509</v>
      </c>
    </row>
    <row r="36" spans="1:5" x14ac:dyDescent="0.35">
      <c r="A36" s="2" t="s">
        <v>488</v>
      </c>
      <c r="B36" s="2" t="s">
        <v>487</v>
      </c>
      <c r="C36" s="2" t="s">
        <v>565</v>
      </c>
      <c r="D36" s="2" t="s">
        <v>514</v>
      </c>
      <c r="E36" s="2" t="s">
        <v>509</v>
      </c>
    </row>
    <row r="37" spans="1:5" x14ac:dyDescent="0.35">
      <c r="A37" s="2" t="s">
        <v>138</v>
      </c>
      <c r="B37" s="2" t="s">
        <v>412</v>
      </c>
      <c r="C37" s="2" t="s">
        <v>510</v>
      </c>
      <c r="D37" s="2" t="s">
        <v>511</v>
      </c>
      <c r="E37" s="2" t="s">
        <v>509</v>
      </c>
    </row>
    <row r="38" spans="1:5" x14ac:dyDescent="0.35">
      <c r="A38" s="2" t="s">
        <v>188</v>
      </c>
      <c r="B38" s="2" t="s">
        <v>422</v>
      </c>
      <c r="C38" s="2" t="s">
        <v>526</v>
      </c>
      <c r="D38" s="2" t="s">
        <v>525</v>
      </c>
      <c r="E38" s="2" t="s">
        <v>519</v>
      </c>
    </row>
    <row r="39" spans="1:5" x14ac:dyDescent="0.35">
      <c r="A39" s="2" t="s">
        <v>168</v>
      </c>
      <c r="B39" s="2" t="s">
        <v>416</v>
      </c>
      <c r="C39" s="2" t="s">
        <v>517</v>
      </c>
      <c r="D39" s="2" t="s">
        <v>518</v>
      </c>
      <c r="E39" s="2" t="s">
        <v>519</v>
      </c>
    </row>
    <row r="40" spans="1:5" x14ac:dyDescent="0.35">
      <c r="A40" s="2" t="s">
        <v>160</v>
      </c>
      <c r="B40" s="2" t="s">
        <v>415</v>
      </c>
      <c r="C40" s="2" t="s">
        <v>515</v>
      </c>
      <c r="D40" s="2" t="s">
        <v>516</v>
      </c>
      <c r="E40" s="2" t="s">
        <v>509</v>
      </c>
    </row>
    <row r="41" spans="1:5" x14ac:dyDescent="0.35">
      <c r="A41" s="2" t="s">
        <v>479</v>
      </c>
      <c r="B41" s="2" t="s">
        <v>478</v>
      </c>
      <c r="C41" s="2" t="s">
        <v>556</v>
      </c>
      <c r="D41" s="2" t="s">
        <v>525</v>
      </c>
      <c r="E41" s="2" t="s">
        <v>519</v>
      </c>
    </row>
    <row r="42" spans="1:5" x14ac:dyDescent="0.35">
      <c r="A42" s="2" t="s">
        <v>426</v>
      </c>
      <c r="B42" s="2" t="s">
        <v>425</v>
      </c>
      <c r="C42" s="2" t="s">
        <v>523</v>
      </c>
      <c r="D42" s="2" t="s">
        <v>508</v>
      </c>
      <c r="E42" s="2" t="s">
        <v>519</v>
      </c>
    </row>
    <row r="43" spans="1:5" x14ac:dyDescent="0.35">
      <c r="A43" s="2" t="s">
        <v>498</v>
      </c>
      <c r="B43" s="3" t="s">
        <v>497</v>
      </c>
      <c r="C43" s="3" t="s">
        <v>561</v>
      </c>
      <c r="D43" s="3" t="s">
        <v>525</v>
      </c>
      <c r="E43" s="3" t="s">
        <v>519</v>
      </c>
    </row>
    <row r="44" spans="1:5" x14ac:dyDescent="0.35">
      <c r="A44" s="2" t="s">
        <v>441</v>
      </c>
      <c r="B44" s="2" t="s">
        <v>440</v>
      </c>
      <c r="C44" s="2" t="s">
        <v>536</v>
      </c>
      <c r="D44" s="2" t="s">
        <v>530</v>
      </c>
      <c r="E44" s="2" t="s">
        <v>519</v>
      </c>
    </row>
    <row r="45" spans="1:5" x14ac:dyDescent="0.35">
      <c r="A45" s="2" t="s">
        <v>424</v>
      </c>
      <c r="B45" s="2" t="s">
        <v>423</v>
      </c>
      <c r="C45" s="2" t="s">
        <v>527</v>
      </c>
      <c r="D45" s="2" t="s">
        <v>528</v>
      </c>
      <c r="E45" s="2" t="s">
        <v>509</v>
      </c>
    </row>
    <row r="46" spans="1:5" x14ac:dyDescent="0.35">
      <c r="A46" s="2" t="s">
        <v>430</v>
      </c>
      <c r="B46" s="2" t="s">
        <v>429</v>
      </c>
      <c r="C46" s="2" t="s">
        <v>531</v>
      </c>
      <c r="D46" s="2" t="s">
        <v>530</v>
      </c>
      <c r="E46" s="2" t="s">
        <v>519</v>
      </c>
    </row>
    <row r="47" spans="1:5" x14ac:dyDescent="0.35">
      <c r="A47" s="2" t="s">
        <v>113</v>
      </c>
      <c r="B47" s="2" t="s">
        <v>462</v>
      </c>
      <c r="C47" s="2" t="s">
        <v>523</v>
      </c>
      <c r="D47" s="2" t="s">
        <v>508</v>
      </c>
      <c r="E47" s="2" t="s">
        <v>551</v>
      </c>
    </row>
    <row r="48" spans="1:5" x14ac:dyDescent="0.35">
      <c r="A48" s="2" t="s">
        <v>420</v>
      </c>
      <c r="B48" s="2" t="s">
        <v>419</v>
      </c>
      <c r="C48" s="2" t="s">
        <v>523</v>
      </c>
      <c r="D48" s="2" t="s">
        <v>508</v>
      </c>
      <c r="E48" s="2" t="s">
        <v>519</v>
      </c>
    </row>
    <row r="49" spans="1:5" x14ac:dyDescent="0.35">
      <c r="A49" s="2" t="s">
        <v>466</v>
      </c>
      <c r="B49" s="2" t="s">
        <v>465</v>
      </c>
      <c r="C49" s="2" t="s">
        <v>553</v>
      </c>
      <c r="D49" s="2" t="s">
        <v>543</v>
      </c>
      <c r="E49" s="2" t="s">
        <v>509</v>
      </c>
    </row>
    <row r="50" spans="1:5" x14ac:dyDescent="0.35">
      <c r="A50" s="2" t="s">
        <v>450</v>
      </c>
      <c r="B50" s="2" t="s">
        <v>449</v>
      </c>
      <c r="C50" s="2" t="s">
        <v>541</v>
      </c>
      <c r="D50" s="2" t="s">
        <v>511</v>
      </c>
      <c r="E50" s="2" t="s">
        <v>509</v>
      </c>
    </row>
    <row r="51" spans="1:5" x14ac:dyDescent="0.35">
      <c r="A51" s="2" t="s">
        <v>472</v>
      </c>
      <c r="B51" s="2" t="s">
        <v>471</v>
      </c>
      <c r="C51" s="2" t="s">
        <v>558</v>
      </c>
      <c r="D51" s="2" t="s">
        <v>525</v>
      </c>
      <c r="E51" s="2" t="s">
        <v>519</v>
      </c>
    </row>
    <row r="52" spans="1:5" x14ac:dyDescent="0.35">
      <c r="A52" s="2" t="s">
        <v>469</v>
      </c>
      <c r="B52" s="2" t="s">
        <v>468</v>
      </c>
      <c r="C52" s="2" t="s">
        <v>556</v>
      </c>
      <c r="D52" s="2" t="s">
        <v>525</v>
      </c>
      <c r="E52" s="2" t="s">
        <v>519</v>
      </c>
    </row>
    <row r="53" spans="1:5" x14ac:dyDescent="0.35">
      <c r="A53" s="2" t="s">
        <v>220</v>
      </c>
      <c r="B53" s="2" t="s">
        <v>453</v>
      </c>
      <c r="C53" s="2" t="s">
        <v>546</v>
      </c>
      <c r="D53" s="2" t="s">
        <v>525</v>
      </c>
      <c r="E53" s="2" t="s">
        <v>519</v>
      </c>
    </row>
    <row r="54" spans="1:5" x14ac:dyDescent="0.35">
      <c r="A54" s="2" t="s">
        <v>121</v>
      </c>
      <c r="B54" s="2" t="s">
        <v>446</v>
      </c>
      <c r="C54" s="2" t="s">
        <v>539</v>
      </c>
      <c r="D54" s="2" t="s">
        <v>528</v>
      </c>
      <c r="E54" s="2" t="s">
        <v>509</v>
      </c>
    </row>
    <row r="55" spans="1:5" x14ac:dyDescent="0.35">
      <c r="A55" s="2" t="s">
        <v>73</v>
      </c>
      <c r="B55" s="2" t="s">
        <v>485</v>
      </c>
      <c r="C55" s="2" t="s">
        <v>563</v>
      </c>
      <c r="D55" s="2" t="s">
        <v>530</v>
      </c>
      <c r="E55" s="2" t="s">
        <v>519</v>
      </c>
    </row>
    <row r="56" spans="1:5" x14ac:dyDescent="0.35">
      <c r="A56" s="2" t="s">
        <v>63</v>
      </c>
      <c r="B56" s="2" t="s">
        <v>484</v>
      </c>
      <c r="C56" s="2" t="s">
        <v>562</v>
      </c>
      <c r="D56" s="2" t="s">
        <v>530</v>
      </c>
      <c r="E56" s="2" t="s">
        <v>519</v>
      </c>
    </row>
    <row r="57" spans="1:5" x14ac:dyDescent="0.35">
      <c r="A57" s="2" t="s">
        <v>437</v>
      </c>
      <c r="B57" s="2" t="s">
        <v>436</v>
      </c>
      <c r="C57" s="2" t="s">
        <v>534</v>
      </c>
      <c r="D57" s="2" t="s">
        <v>530</v>
      </c>
      <c r="E57" s="2" t="s">
        <v>519</v>
      </c>
    </row>
    <row r="58" spans="1:5" x14ac:dyDescent="0.35">
      <c r="A58" s="2" t="s">
        <v>238</v>
      </c>
      <c r="B58" s="2" t="s">
        <v>459</v>
      </c>
      <c r="C58" s="2" t="s">
        <v>550</v>
      </c>
      <c r="D58" s="2" t="s">
        <v>543</v>
      </c>
      <c r="E58" s="2" t="s">
        <v>509</v>
      </c>
    </row>
    <row r="59" spans="1:5" x14ac:dyDescent="0.35">
      <c r="A59" s="2" t="s">
        <v>496</v>
      </c>
      <c r="B59" s="3" t="s">
        <v>495</v>
      </c>
      <c r="C59" s="3" t="s">
        <v>561</v>
      </c>
      <c r="D59" s="3" t="s">
        <v>525</v>
      </c>
      <c r="E59" s="3" t="s">
        <v>519</v>
      </c>
    </row>
    <row r="60" spans="1:5" x14ac:dyDescent="0.35">
      <c r="A60" s="2" t="s">
        <v>435</v>
      </c>
      <c r="B60" s="2" t="s">
        <v>434</v>
      </c>
      <c r="C60" s="2" t="s">
        <v>531</v>
      </c>
      <c r="D60" s="2" t="s">
        <v>530</v>
      </c>
      <c r="E60" s="2" t="s">
        <v>519</v>
      </c>
    </row>
    <row r="61" spans="1:5" x14ac:dyDescent="0.35">
      <c r="A61" s="2" t="s">
        <v>477</v>
      </c>
      <c r="B61" s="2" t="s">
        <v>476</v>
      </c>
      <c r="C61" s="2" t="s">
        <v>556</v>
      </c>
      <c r="D61" s="2" t="s">
        <v>525</v>
      </c>
      <c r="E61" s="2" t="s">
        <v>519</v>
      </c>
    </row>
    <row r="62" spans="1:5" x14ac:dyDescent="0.35">
      <c r="A62" s="2" t="s">
        <v>82</v>
      </c>
      <c r="B62" s="2" t="s">
        <v>486</v>
      </c>
      <c r="C62" s="2" t="s">
        <v>564</v>
      </c>
      <c r="D62" s="2" t="s">
        <v>525</v>
      </c>
      <c r="E62" s="2" t="s">
        <v>519</v>
      </c>
    </row>
  </sheetData>
  <autoFilter ref="A1:F1" xr:uid="{96A2A6CD-CB08-46AA-AA56-3A38F841DC0A}">
    <sortState xmlns:xlrd2="http://schemas.microsoft.com/office/spreadsheetml/2017/richdata2" ref="A2:F62">
      <sortCondition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5FE9-AB8D-4D64-B668-29EB8C3D8AD8}">
  <dimension ref="A1:F2"/>
  <sheetViews>
    <sheetView workbookViewId="0">
      <selection sqref="A1:XFD1"/>
    </sheetView>
  </sheetViews>
  <sheetFormatPr defaultRowHeight="14.5" x14ac:dyDescent="0.35"/>
  <cols>
    <col min="1" max="6" width="18.1796875" customWidth="1"/>
  </cols>
  <sheetData>
    <row r="1" spans="1:6" x14ac:dyDescent="0.35">
      <c r="A1" t="s">
        <v>567</v>
      </c>
      <c r="B1" s="13" t="s">
        <v>568</v>
      </c>
      <c r="C1" s="13" t="s">
        <v>569</v>
      </c>
      <c r="D1" t="s">
        <v>570</v>
      </c>
      <c r="E1" t="s">
        <v>571</v>
      </c>
      <c r="F1" t="s">
        <v>572</v>
      </c>
    </row>
    <row r="2" spans="1:6" x14ac:dyDescent="0.35">
      <c r="B2" s="13"/>
      <c r="C2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Sheet2</vt:lpstr>
      <vt:lpstr>Sheet1</vt:lpstr>
      <vt:lpstr>Sheet3</vt:lpstr>
      <vt:lpstr>Form1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Ismael Sudally</dc:creator>
  <cp:lastModifiedBy>Mohammad Ismael Sudally</cp:lastModifiedBy>
  <dcterms:created xsi:type="dcterms:W3CDTF">2025-12-19T10:33:18Z</dcterms:created>
  <dcterms:modified xsi:type="dcterms:W3CDTF">2025-12-24T20:49:09Z</dcterms:modified>
</cp:coreProperties>
</file>